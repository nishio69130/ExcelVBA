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95B69576-EDB4-4BE3-87EA-63F60DFD9F5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処理対象" sheetId="3" r:id="rId1"/>
    <sheet name="検体情報" sheetId="4" r:id="rId2"/>
    <sheet name="項目情報" sheetId="5" r:id="rId3"/>
    <sheet name="データ貼付" sheetId="1" r:id="rId4"/>
    <sheet name="処理対象移動済" sheetId="2" r:id="rId5"/>
    <sheet name="処理済" sheetId="7" r:id="rId6"/>
    <sheet name="全項目情報" sheetId="8" r:id="rId7"/>
    <sheet name="検体毎項目情報" sheetId="9" r:id="rId8"/>
    <sheet name="判定詳細" sheetId="10" r:id="rId9"/>
    <sheet name="仕分け判定ロジック" sheetId="12" r:id="rId10"/>
    <sheet name="費用項目一覧" sheetId="11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R250" i="10" l="1"/>
  <c r="AR249" i="10"/>
  <c r="F10" i="10"/>
  <c r="F9" i="10"/>
  <c r="F8" i="10"/>
  <c r="F7" i="10"/>
  <c r="F6" i="10"/>
  <c r="F5" i="10"/>
  <c r="F4" i="10"/>
  <c r="BP248" i="10" l="1"/>
  <c r="BO248" i="10"/>
  <c r="BN248" i="10"/>
  <c r="BM248" i="10"/>
  <c r="BL248" i="10"/>
  <c r="BK248" i="10"/>
  <c r="BJ248" i="10"/>
  <c r="BI248" i="10"/>
  <c r="BH248" i="10"/>
  <c r="BG248" i="10"/>
  <c r="BF248" i="10"/>
  <c r="BE248" i="10"/>
  <c r="BD248" i="10"/>
  <c r="BC248" i="10"/>
  <c r="BB248" i="10"/>
  <c r="BA248" i="10"/>
  <c r="AZ248" i="10"/>
  <c r="AY248" i="10"/>
  <c r="AX248" i="10"/>
  <c r="AW248" i="10"/>
  <c r="AV248" i="10"/>
  <c r="AU248" i="10"/>
  <c r="AT248" i="10"/>
  <c r="AS248" i="10"/>
  <c r="AR248" i="10" s="1"/>
  <c r="BP247" i="10"/>
  <c r="BO247" i="10"/>
  <c r="BN247" i="10"/>
  <c r="BM247" i="10"/>
  <c r="BL247" i="10"/>
  <c r="BK247" i="10"/>
  <c r="BJ247" i="10"/>
  <c r="BI247" i="10"/>
  <c r="BH247" i="10"/>
  <c r="BG247" i="10"/>
  <c r="BF247" i="10"/>
  <c r="BE247" i="10"/>
  <c r="BD247" i="10"/>
  <c r="BC247" i="10"/>
  <c r="BB247" i="10"/>
  <c r="BA247" i="10"/>
  <c r="AZ247" i="10"/>
  <c r="AY247" i="10"/>
  <c r="AX247" i="10"/>
  <c r="AW247" i="10"/>
  <c r="AV247" i="10"/>
  <c r="AU247" i="10"/>
  <c r="AT247" i="10"/>
  <c r="AS247" i="10"/>
  <c r="AR247" i="10" s="1"/>
  <c r="BP246" i="10"/>
  <c r="BO246" i="10"/>
  <c r="BN246" i="10"/>
  <c r="BM246" i="10"/>
  <c r="BL246" i="10"/>
  <c r="BK246" i="10"/>
  <c r="BJ246" i="10"/>
  <c r="BI246" i="10"/>
  <c r="BH246" i="10"/>
  <c r="BG246" i="10"/>
  <c r="BF246" i="10"/>
  <c r="BE246" i="10"/>
  <c r="BD246" i="10"/>
  <c r="BC246" i="10"/>
  <c r="BB246" i="10"/>
  <c r="BA246" i="10"/>
  <c r="AZ246" i="10"/>
  <c r="AY246" i="10"/>
  <c r="AX246" i="10"/>
  <c r="AW246" i="10"/>
  <c r="AV246" i="10"/>
  <c r="AU246" i="10"/>
  <c r="AT246" i="10"/>
  <c r="AS246" i="10"/>
  <c r="AR246" i="10" s="1"/>
  <c r="BP245" i="10"/>
  <c r="BO245" i="10"/>
  <c r="BN245" i="10"/>
  <c r="BM245" i="10"/>
  <c r="BL245" i="10"/>
  <c r="BK245" i="10"/>
  <c r="BJ245" i="10"/>
  <c r="BI245" i="10"/>
  <c r="BH245" i="10"/>
  <c r="BG245" i="10"/>
  <c r="BF245" i="10"/>
  <c r="BE245" i="10"/>
  <c r="BD245" i="10"/>
  <c r="BC245" i="10"/>
  <c r="BB245" i="10"/>
  <c r="BA245" i="10"/>
  <c r="AZ245" i="10"/>
  <c r="AY245" i="10"/>
  <c r="AX245" i="10"/>
  <c r="AW245" i="10"/>
  <c r="AV245" i="10"/>
  <c r="AU245" i="10"/>
  <c r="AT245" i="10"/>
  <c r="AS245" i="10"/>
  <c r="AR245" i="10" s="1"/>
  <c r="BP244" i="10"/>
  <c r="BO244" i="10"/>
  <c r="BN244" i="10"/>
  <c r="BM244" i="10"/>
  <c r="BL244" i="10"/>
  <c r="BK244" i="10"/>
  <c r="BJ244" i="10"/>
  <c r="BI244" i="10"/>
  <c r="BH244" i="10"/>
  <c r="BG244" i="10"/>
  <c r="BF244" i="10"/>
  <c r="BE244" i="10"/>
  <c r="BD244" i="10"/>
  <c r="BC244" i="10"/>
  <c r="BB244" i="10"/>
  <c r="BA244" i="10"/>
  <c r="AZ244" i="10"/>
  <c r="AY244" i="10"/>
  <c r="AX244" i="10"/>
  <c r="AW244" i="10"/>
  <c r="AV244" i="10"/>
  <c r="AU244" i="10"/>
  <c r="AT244" i="10"/>
  <c r="AS244" i="10"/>
  <c r="AR244" i="10" s="1"/>
  <c r="BP243" i="10"/>
  <c r="BO243" i="10"/>
  <c r="BN243" i="10"/>
  <c r="BM243" i="10"/>
  <c r="BL243" i="10"/>
  <c r="BK243" i="10"/>
  <c r="BJ243" i="10"/>
  <c r="BI243" i="10"/>
  <c r="BH243" i="10"/>
  <c r="BG243" i="10"/>
  <c r="BF243" i="10"/>
  <c r="BE243" i="10"/>
  <c r="BD243" i="10"/>
  <c r="BC243" i="10"/>
  <c r="BB243" i="10"/>
  <c r="BA243" i="10"/>
  <c r="AZ243" i="10"/>
  <c r="AY243" i="10"/>
  <c r="AX243" i="10"/>
  <c r="AW243" i="10"/>
  <c r="AV243" i="10"/>
  <c r="AU243" i="10"/>
  <c r="AT243" i="10"/>
  <c r="AS243" i="10"/>
  <c r="AR243" i="10" s="1"/>
  <c r="BP242" i="10"/>
  <c r="BO242" i="10"/>
  <c r="BN242" i="10"/>
  <c r="BM242" i="10"/>
  <c r="BL242" i="10"/>
  <c r="BK242" i="10"/>
  <c r="BJ242" i="10"/>
  <c r="BI242" i="10"/>
  <c r="BH242" i="10"/>
  <c r="BG242" i="10"/>
  <c r="BF242" i="10"/>
  <c r="BE242" i="10"/>
  <c r="BD242" i="10"/>
  <c r="BC242" i="10"/>
  <c r="BB242" i="10"/>
  <c r="BA242" i="10"/>
  <c r="AZ242" i="10"/>
  <c r="AY242" i="10"/>
  <c r="AX242" i="10"/>
  <c r="AW242" i="10"/>
  <c r="AV242" i="10"/>
  <c r="AU242" i="10"/>
  <c r="AT242" i="10"/>
  <c r="AS242" i="10"/>
  <c r="AR242" i="10" s="1"/>
  <c r="BP241" i="10"/>
  <c r="BO241" i="10"/>
  <c r="BN241" i="10"/>
  <c r="BM241" i="10"/>
  <c r="BL241" i="10"/>
  <c r="BK241" i="10"/>
  <c r="BJ241" i="10"/>
  <c r="BI241" i="10"/>
  <c r="BH241" i="10"/>
  <c r="BG241" i="10"/>
  <c r="BF241" i="10"/>
  <c r="BE241" i="10"/>
  <c r="BD241" i="10"/>
  <c r="BC241" i="10"/>
  <c r="BB241" i="10"/>
  <c r="BA241" i="10"/>
  <c r="AZ241" i="10"/>
  <c r="AY241" i="10"/>
  <c r="AX241" i="10"/>
  <c r="AW241" i="10"/>
  <c r="AV241" i="10"/>
  <c r="AU241" i="10"/>
  <c r="AT241" i="10"/>
  <c r="AS241" i="10"/>
  <c r="AR241" i="10" s="1"/>
  <c r="BP240" i="10"/>
  <c r="BO240" i="10"/>
  <c r="BN240" i="10"/>
  <c r="BM240" i="10"/>
  <c r="BL240" i="10"/>
  <c r="BK240" i="10"/>
  <c r="BJ240" i="10"/>
  <c r="BI240" i="10"/>
  <c r="BH240" i="10"/>
  <c r="BG240" i="10"/>
  <c r="BF240" i="10"/>
  <c r="BE240" i="10"/>
  <c r="BD240" i="10"/>
  <c r="BC240" i="10"/>
  <c r="BB240" i="10"/>
  <c r="BA240" i="10"/>
  <c r="AZ240" i="10"/>
  <c r="AY240" i="10"/>
  <c r="AX240" i="10"/>
  <c r="AW240" i="10"/>
  <c r="AV240" i="10"/>
  <c r="AU240" i="10"/>
  <c r="AT240" i="10"/>
  <c r="AS240" i="10"/>
  <c r="AR240" i="10" s="1"/>
  <c r="BP239" i="10"/>
  <c r="BO239" i="10"/>
  <c r="BN239" i="10"/>
  <c r="BM239" i="10"/>
  <c r="BL239" i="10"/>
  <c r="BK239" i="10"/>
  <c r="BJ239" i="10"/>
  <c r="BI239" i="10"/>
  <c r="BH239" i="10"/>
  <c r="BG239" i="10"/>
  <c r="BF239" i="10"/>
  <c r="BE239" i="10"/>
  <c r="BD239" i="10"/>
  <c r="BC239" i="10"/>
  <c r="BB239" i="10"/>
  <c r="BA239" i="10"/>
  <c r="AZ239" i="10"/>
  <c r="AY239" i="10"/>
  <c r="AX239" i="10"/>
  <c r="AW239" i="10"/>
  <c r="AV239" i="10"/>
  <c r="AU239" i="10"/>
  <c r="AT239" i="10"/>
  <c r="AS239" i="10"/>
  <c r="AR239" i="10" s="1"/>
  <c r="BP238" i="10"/>
  <c r="BO238" i="10"/>
  <c r="BN238" i="10"/>
  <c r="BM238" i="10"/>
  <c r="BL238" i="10"/>
  <c r="BK238" i="10"/>
  <c r="BJ238" i="10"/>
  <c r="BI238" i="10"/>
  <c r="BH238" i="10"/>
  <c r="BG238" i="10"/>
  <c r="BF238" i="10"/>
  <c r="BE238" i="10"/>
  <c r="BD238" i="10"/>
  <c r="BC238" i="10"/>
  <c r="BB238" i="10"/>
  <c r="BA238" i="10"/>
  <c r="AZ238" i="10"/>
  <c r="AY238" i="10"/>
  <c r="AX238" i="10"/>
  <c r="AW238" i="10"/>
  <c r="AV238" i="10"/>
  <c r="AU238" i="10"/>
  <c r="AT238" i="10"/>
  <c r="AS238" i="10"/>
  <c r="AR238" i="10" s="1"/>
  <c r="BP237" i="10"/>
  <c r="BO237" i="10"/>
  <c r="BN237" i="10"/>
  <c r="BM237" i="10"/>
  <c r="BL237" i="10"/>
  <c r="BK237" i="10"/>
  <c r="BJ237" i="10"/>
  <c r="BI237" i="10"/>
  <c r="BH237" i="10"/>
  <c r="BG237" i="10"/>
  <c r="BF237" i="10"/>
  <c r="BE237" i="10"/>
  <c r="BD237" i="10"/>
  <c r="BC237" i="10"/>
  <c r="BB237" i="10"/>
  <c r="BA237" i="10"/>
  <c r="AZ237" i="10"/>
  <c r="AY237" i="10"/>
  <c r="AX237" i="10"/>
  <c r="AW237" i="10"/>
  <c r="AV237" i="10"/>
  <c r="AU237" i="10"/>
  <c r="AT237" i="10"/>
  <c r="AS237" i="10"/>
  <c r="AR237" i="10" s="1"/>
  <c r="BP236" i="10"/>
  <c r="BO236" i="10"/>
  <c r="BN236" i="10"/>
  <c r="BM236" i="10"/>
  <c r="BL236" i="10"/>
  <c r="BK236" i="10"/>
  <c r="BJ236" i="10"/>
  <c r="BI236" i="10"/>
  <c r="BH236" i="10"/>
  <c r="BG236" i="10"/>
  <c r="BF236" i="10"/>
  <c r="BE236" i="10"/>
  <c r="BD236" i="10"/>
  <c r="BC236" i="10"/>
  <c r="BB236" i="10"/>
  <c r="BA236" i="10"/>
  <c r="AZ236" i="10"/>
  <c r="AY236" i="10"/>
  <c r="AX236" i="10"/>
  <c r="AW236" i="10"/>
  <c r="AV236" i="10"/>
  <c r="AU236" i="10"/>
  <c r="AT236" i="10"/>
  <c r="AS236" i="10"/>
  <c r="AR236" i="10" s="1"/>
  <c r="BP235" i="10"/>
  <c r="BO235" i="10"/>
  <c r="BN235" i="10"/>
  <c r="BM235" i="10"/>
  <c r="BL235" i="10"/>
  <c r="BK235" i="10"/>
  <c r="BJ235" i="10"/>
  <c r="BI235" i="10"/>
  <c r="BH235" i="10"/>
  <c r="BG235" i="10"/>
  <c r="BF235" i="10"/>
  <c r="BE235" i="10"/>
  <c r="BD235" i="10"/>
  <c r="BC235" i="10"/>
  <c r="BB235" i="10"/>
  <c r="BA235" i="10"/>
  <c r="AZ235" i="10"/>
  <c r="AY235" i="10"/>
  <c r="AX235" i="10"/>
  <c r="AW235" i="10"/>
  <c r="AV235" i="10"/>
  <c r="AU235" i="10"/>
  <c r="AT235" i="10"/>
  <c r="AS235" i="10"/>
  <c r="AR235" i="10" s="1"/>
  <c r="BP234" i="10"/>
  <c r="BO234" i="10"/>
  <c r="BN234" i="10"/>
  <c r="BM234" i="10"/>
  <c r="BL234" i="10"/>
  <c r="BK234" i="10"/>
  <c r="BJ234" i="10"/>
  <c r="BI234" i="10"/>
  <c r="BH234" i="10"/>
  <c r="BG234" i="10"/>
  <c r="BF234" i="10"/>
  <c r="BE234" i="10"/>
  <c r="BD234" i="10"/>
  <c r="BC234" i="10"/>
  <c r="BB234" i="10"/>
  <c r="BA234" i="10"/>
  <c r="AZ234" i="10"/>
  <c r="AY234" i="10"/>
  <c r="AX234" i="10"/>
  <c r="AW234" i="10"/>
  <c r="AV234" i="10"/>
  <c r="AU234" i="10"/>
  <c r="AT234" i="10"/>
  <c r="AS234" i="10"/>
  <c r="AR234" i="10" s="1"/>
  <c r="BP233" i="10"/>
  <c r="BO233" i="10"/>
  <c r="BN233" i="10"/>
  <c r="BM233" i="10"/>
  <c r="BL233" i="10"/>
  <c r="BK233" i="10"/>
  <c r="BJ233" i="10"/>
  <c r="BI233" i="10"/>
  <c r="BH233" i="10"/>
  <c r="BG233" i="10"/>
  <c r="BF233" i="10"/>
  <c r="BE233" i="10"/>
  <c r="BD233" i="10"/>
  <c r="BC233" i="10"/>
  <c r="BB233" i="10"/>
  <c r="BA233" i="10"/>
  <c r="AZ233" i="10"/>
  <c r="AY233" i="10"/>
  <c r="AX233" i="10"/>
  <c r="AW233" i="10"/>
  <c r="AV233" i="10"/>
  <c r="AU233" i="10"/>
  <c r="AT233" i="10"/>
  <c r="AS233" i="10"/>
  <c r="AR233" i="10" s="1"/>
  <c r="BP232" i="10"/>
  <c r="BO232" i="10"/>
  <c r="BN232" i="10"/>
  <c r="BM232" i="10"/>
  <c r="BL232" i="10"/>
  <c r="BK232" i="10"/>
  <c r="BJ232" i="10"/>
  <c r="BI232" i="10"/>
  <c r="BH232" i="10"/>
  <c r="BG232" i="10"/>
  <c r="BF232" i="10"/>
  <c r="BE232" i="10"/>
  <c r="BD232" i="10"/>
  <c r="BC232" i="10"/>
  <c r="BB232" i="10"/>
  <c r="BA232" i="10"/>
  <c r="AZ232" i="10"/>
  <c r="AY232" i="10"/>
  <c r="AX232" i="10"/>
  <c r="AW232" i="10"/>
  <c r="AV232" i="10"/>
  <c r="AU232" i="10"/>
  <c r="AT232" i="10"/>
  <c r="AS232" i="10"/>
  <c r="AR232" i="10" s="1"/>
  <c r="BP231" i="10"/>
  <c r="BO231" i="10"/>
  <c r="BN231" i="10"/>
  <c r="BM231" i="10"/>
  <c r="BL231" i="10"/>
  <c r="BK231" i="10"/>
  <c r="BJ231" i="10"/>
  <c r="BI231" i="10"/>
  <c r="BH231" i="10"/>
  <c r="BG231" i="10"/>
  <c r="BF231" i="10"/>
  <c r="BE231" i="10"/>
  <c r="BD231" i="10"/>
  <c r="BC231" i="10"/>
  <c r="BB231" i="10"/>
  <c r="BA231" i="10"/>
  <c r="AZ231" i="10"/>
  <c r="AY231" i="10"/>
  <c r="AX231" i="10"/>
  <c r="AW231" i="10"/>
  <c r="AV231" i="10"/>
  <c r="AU231" i="10"/>
  <c r="AT231" i="10"/>
  <c r="AS231" i="10"/>
  <c r="AR231" i="10" s="1"/>
  <c r="BP230" i="10"/>
  <c r="BO230" i="10"/>
  <c r="BN230" i="10"/>
  <c r="BM230" i="10"/>
  <c r="BL230" i="10"/>
  <c r="BK230" i="10"/>
  <c r="BJ230" i="10"/>
  <c r="BI230" i="10"/>
  <c r="BH230" i="10"/>
  <c r="BG230" i="10"/>
  <c r="BF230" i="10"/>
  <c r="BE230" i="10"/>
  <c r="BD230" i="10"/>
  <c r="BC230" i="10"/>
  <c r="BB230" i="10"/>
  <c r="BA230" i="10"/>
  <c r="AZ230" i="10"/>
  <c r="AY230" i="10"/>
  <c r="AX230" i="10"/>
  <c r="AW230" i="10"/>
  <c r="AV230" i="10"/>
  <c r="AU230" i="10"/>
  <c r="AT230" i="10"/>
  <c r="AS230" i="10"/>
  <c r="AR230" i="10" s="1"/>
  <c r="BP229" i="10"/>
  <c r="BO229" i="10"/>
  <c r="BN229" i="10"/>
  <c r="BM229" i="10"/>
  <c r="BL229" i="10"/>
  <c r="BK229" i="10"/>
  <c r="BJ229" i="10"/>
  <c r="BI229" i="10"/>
  <c r="BH229" i="10"/>
  <c r="BG229" i="10"/>
  <c r="BF229" i="10"/>
  <c r="BE229" i="10"/>
  <c r="BD229" i="10"/>
  <c r="BC229" i="10"/>
  <c r="BB229" i="10"/>
  <c r="BA229" i="10"/>
  <c r="AZ229" i="10"/>
  <c r="AY229" i="10"/>
  <c r="AX229" i="10"/>
  <c r="AW229" i="10"/>
  <c r="AV229" i="10"/>
  <c r="AU229" i="10"/>
  <c r="AT229" i="10"/>
  <c r="AS229" i="10"/>
  <c r="AR229" i="10" s="1"/>
  <c r="BP228" i="10"/>
  <c r="BO228" i="10"/>
  <c r="BN228" i="10"/>
  <c r="BM228" i="10"/>
  <c r="BL228" i="10"/>
  <c r="BK228" i="10"/>
  <c r="BJ228" i="10"/>
  <c r="BI228" i="10"/>
  <c r="BH228" i="10"/>
  <c r="BG228" i="10"/>
  <c r="BF228" i="10"/>
  <c r="BE228" i="10"/>
  <c r="BD228" i="10"/>
  <c r="BC228" i="10"/>
  <c r="BB228" i="10"/>
  <c r="BA228" i="10"/>
  <c r="AZ228" i="10"/>
  <c r="AY228" i="10"/>
  <c r="AX228" i="10"/>
  <c r="AW228" i="10"/>
  <c r="AV228" i="10"/>
  <c r="AU228" i="10"/>
  <c r="AT228" i="10"/>
  <c r="AS228" i="10"/>
  <c r="AR228" i="10" s="1"/>
  <c r="BP227" i="10"/>
  <c r="BO227" i="10"/>
  <c r="BN227" i="10"/>
  <c r="BM227" i="10"/>
  <c r="BL227" i="10"/>
  <c r="BK227" i="10"/>
  <c r="BJ227" i="10"/>
  <c r="BI227" i="10"/>
  <c r="BH227" i="10"/>
  <c r="BG227" i="10"/>
  <c r="BF227" i="10"/>
  <c r="BE227" i="10"/>
  <c r="BD227" i="10"/>
  <c r="BC227" i="10"/>
  <c r="BB227" i="10"/>
  <c r="BA227" i="10"/>
  <c r="AZ227" i="10"/>
  <c r="AY227" i="10"/>
  <c r="AX227" i="10"/>
  <c r="AW227" i="10"/>
  <c r="AV227" i="10"/>
  <c r="AU227" i="10"/>
  <c r="AT227" i="10"/>
  <c r="AS227" i="10"/>
  <c r="AR227" i="10" s="1"/>
  <c r="BP226" i="10"/>
  <c r="BO226" i="10"/>
  <c r="BN226" i="10"/>
  <c r="BM226" i="10"/>
  <c r="BL226" i="10"/>
  <c r="BK226" i="10"/>
  <c r="BJ226" i="10"/>
  <c r="BI226" i="10"/>
  <c r="BH226" i="10"/>
  <c r="BG226" i="10"/>
  <c r="BF226" i="10"/>
  <c r="BE226" i="10"/>
  <c r="BD226" i="10"/>
  <c r="BC226" i="10"/>
  <c r="BB226" i="10"/>
  <c r="BA226" i="10"/>
  <c r="AZ226" i="10"/>
  <c r="AY226" i="10"/>
  <c r="AX226" i="10"/>
  <c r="AW226" i="10"/>
  <c r="AV226" i="10"/>
  <c r="AU226" i="10"/>
  <c r="AT226" i="10"/>
  <c r="AS226" i="10"/>
  <c r="AR226" i="10" s="1"/>
  <c r="BP225" i="10"/>
  <c r="BO225" i="10"/>
  <c r="BN225" i="10"/>
  <c r="BM225" i="10"/>
  <c r="BL225" i="10"/>
  <c r="BK225" i="10"/>
  <c r="BJ225" i="10"/>
  <c r="BI225" i="10"/>
  <c r="BH225" i="10"/>
  <c r="BG225" i="10"/>
  <c r="BF225" i="10"/>
  <c r="BE225" i="10"/>
  <c r="BD225" i="10"/>
  <c r="BC225" i="10"/>
  <c r="BB225" i="10"/>
  <c r="BA225" i="10"/>
  <c r="AZ225" i="10"/>
  <c r="AY225" i="10"/>
  <c r="AX225" i="10"/>
  <c r="AW225" i="10"/>
  <c r="AV225" i="10"/>
  <c r="AU225" i="10"/>
  <c r="AT225" i="10"/>
  <c r="AS225" i="10"/>
  <c r="AR225" i="10" s="1"/>
  <c r="BP224" i="10"/>
  <c r="BO224" i="10"/>
  <c r="BN224" i="10"/>
  <c r="BM224" i="10"/>
  <c r="BL224" i="10"/>
  <c r="BK224" i="10"/>
  <c r="BJ224" i="10"/>
  <c r="BI224" i="10"/>
  <c r="BH224" i="10"/>
  <c r="BG224" i="10"/>
  <c r="BF224" i="10"/>
  <c r="BE224" i="10"/>
  <c r="BD224" i="10"/>
  <c r="BC224" i="10"/>
  <c r="BB224" i="10"/>
  <c r="BA224" i="10"/>
  <c r="AZ224" i="10"/>
  <c r="AY224" i="10"/>
  <c r="AX224" i="10"/>
  <c r="AW224" i="10"/>
  <c r="AV224" i="10"/>
  <c r="AU224" i="10"/>
  <c r="AT224" i="10"/>
  <c r="AS224" i="10"/>
  <c r="AR224" i="10" s="1"/>
  <c r="BP223" i="10"/>
  <c r="BO223" i="10"/>
  <c r="BN223" i="10"/>
  <c r="BM223" i="10"/>
  <c r="BL223" i="10"/>
  <c r="BK223" i="10"/>
  <c r="BJ223" i="10"/>
  <c r="BI223" i="10"/>
  <c r="BH223" i="10"/>
  <c r="BG223" i="10"/>
  <c r="BF223" i="10"/>
  <c r="BE223" i="10"/>
  <c r="BD223" i="10"/>
  <c r="BC223" i="10"/>
  <c r="BB223" i="10"/>
  <c r="BA223" i="10"/>
  <c r="AZ223" i="10"/>
  <c r="AY223" i="10"/>
  <c r="AX223" i="10"/>
  <c r="AW223" i="10"/>
  <c r="AV223" i="10"/>
  <c r="AU223" i="10"/>
  <c r="AT223" i="10"/>
  <c r="AS223" i="10"/>
  <c r="AR223" i="10" s="1"/>
  <c r="BP222" i="10"/>
  <c r="BO222" i="10"/>
  <c r="BN222" i="10"/>
  <c r="BM222" i="10"/>
  <c r="BL222" i="10"/>
  <c r="BK222" i="10"/>
  <c r="BJ222" i="10"/>
  <c r="BI222" i="10"/>
  <c r="BH222" i="10"/>
  <c r="BG222" i="10"/>
  <c r="BF222" i="10"/>
  <c r="BE222" i="10"/>
  <c r="BD222" i="10"/>
  <c r="BC222" i="10"/>
  <c r="BB222" i="10"/>
  <c r="BA222" i="10"/>
  <c r="AZ222" i="10"/>
  <c r="AY222" i="10"/>
  <c r="AX222" i="10"/>
  <c r="AW222" i="10"/>
  <c r="AV222" i="10"/>
  <c r="AU222" i="10"/>
  <c r="AT222" i="10"/>
  <c r="AS222" i="10"/>
  <c r="AR222" i="10" s="1"/>
  <c r="BP221" i="10"/>
  <c r="BO221" i="10"/>
  <c r="BN221" i="10"/>
  <c r="BM221" i="10"/>
  <c r="BL221" i="10"/>
  <c r="BK221" i="10"/>
  <c r="BJ221" i="10"/>
  <c r="BI221" i="10"/>
  <c r="BH221" i="10"/>
  <c r="BG221" i="10"/>
  <c r="BF221" i="10"/>
  <c r="BE221" i="10"/>
  <c r="BD221" i="10"/>
  <c r="BC221" i="10"/>
  <c r="BB221" i="10"/>
  <c r="BA221" i="10"/>
  <c r="AZ221" i="10"/>
  <c r="AY221" i="10"/>
  <c r="AX221" i="10"/>
  <c r="AW221" i="10"/>
  <c r="AV221" i="10"/>
  <c r="AU221" i="10"/>
  <c r="AT221" i="10"/>
  <c r="AS221" i="10"/>
  <c r="AR221" i="10" s="1"/>
  <c r="BP220" i="10"/>
  <c r="BO220" i="10"/>
  <c r="BN220" i="10"/>
  <c r="BM220" i="10"/>
  <c r="BL220" i="10"/>
  <c r="BK220" i="10"/>
  <c r="BJ220" i="10"/>
  <c r="BI220" i="10"/>
  <c r="BH220" i="10"/>
  <c r="BG220" i="10"/>
  <c r="BF220" i="10"/>
  <c r="BE220" i="10"/>
  <c r="BD220" i="10"/>
  <c r="BC220" i="10"/>
  <c r="BB220" i="10"/>
  <c r="BA220" i="10"/>
  <c r="AZ220" i="10"/>
  <c r="AY220" i="10"/>
  <c r="AX220" i="10"/>
  <c r="AW220" i="10"/>
  <c r="AV220" i="10"/>
  <c r="AU220" i="10"/>
  <c r="AT220" i="10"/>
  <c r="AS220" i="10"/>
  <c r="AR220" i="10" s="1"/>
  <c r="BP219" i="10"/>
  <c r="BO219" i="10"/>
  <c r="BN219" i="10"/>
  <c r="BM219" i="10"/>
  <c r="BL219" i="10"/>
  <c r="BK219" i="10"/>
  <c r="BJ219" i="10"/>
  <c r="BI219" i="10"/>
  <c r="BH219" i="10"/>
  <c r="BG219" i="10"/>
  <c r="BF219" i="10"/>
  <c r="BE219" i="10"/>
  <c r="BD219" i="10"/>
  <c r="BC219" i="10"/>
  <c r="BB219" i="10"/>
  <c r="BA219" i="10"/>
  <c r="AZ219" i="10"/>
  <c r="AY219" i="10"/>
  <c r="AX219" i="10"/>
  <c r="AW219" i="10"/>
  <c r="AV219" i="10"/>
  <c r="AU219" i="10"/>
  <c r="AT219" i="10"/>
  <c r="AS219" i="10"/>
  <c r="AR219" i="10" s="1"/>
  <c r="BP218" i="10"/>
  <c r="BO218" i="10"/>
  <c r="BN218" i="10"/>
  <c r="BM218" i="10"/>
  <c r="BL218" i="10"/>
  <c r="BK218" i="10"/>
  <c r="BJ218" i="10"/>
  <c r="BI218" i="10"/>
  <c r="BH218" i="10"/>
  <c r="BG218" i="10"/>
  <c r="BF218" i="10"/>
  <c r="BE218" i="10"/>
  <c r="BD218" i="10"/>
  <c r="BC218" i="10"/>
  <c r="BB218" i="10"/>
  <c r="BA218" i="10"/>
  <c r="AZ218" i="10"/>
  <c r="AY218" i="10"/>
  <c r="AX218" i="10"/>
  <c r="AW218" i="10"/>
  <c r="AV218" i="10"/>
  <c r="AU218" i="10"/>
  <c r="AT218" i="10"/>
  <c r="AS218" i="10"/>
  <c r="AR218" i="10" s="1"/>
  <c r="BP217" i="10"/>
  <c r="BO217" i="10"/>
  <c r="BN217" i="10"/>
  <c r="BM217" i="10"/>
  <c r="BL217" i="10"/>
  <c r="BK217" i="10"/>
  <c r="BJ217" i="10"/>
  <c r="BI217" i="10"/>
  <c r="BH217" i="10"/>
  <c r="BG217" i="10"/>
  <c r="BF217" i="10"/>
  <c r="BE217" i="10"/>
  <c r="BD217" i="10"/>
  <c r="BC217" i="10"/>
  <c r="BB217" i="10"/>
  <c r="BA217" i="10"/>
  <c r="AZ217" i="10"/>
  <c r="AY217" i="10"/>
  <c r="AX217" i="10"/>
  <c r="AW217" i="10"/>
  <c r="AV217" i="10"/>
  <c r="AU217" i="10"/>
  <c r="AT217" i="10"/>
  <c r="AS217" i="10"/>
  <c r="AR217" i="10" s="1"/>
  <c r="BP216" i="10"/>
  <c r="BO216" i="10"/>
  <c r="BN216" i="10"/>
  <c r="BM216" i="10"/>
  <c r="BL216" i="10"/>
  <c r="BK216" i="10"/>
  <c r="BJ216" i="10"/>
  <c r="BI216" i="10"/>
  <c r="BH216" i="10"/>
  <c r="BG216" i="10"/>
  <c r="BF216" i="10"/>
  <c r="BE216" i="10"/>
  <c r="BD216" i="10"/>
  <c r="BC216" i="10"/>
  <c r="BB216" i="10"/>
  <c r="BA216" i="10"/>
  <c r="AZ216" i="10"/>
  <c r="AY216" i="10"/>
  <c r="AX216" i="10"/>
  <c r="AW216" i="10"/>
  <c r="AV216" i="10"/>
  <c r="AU216" i="10"/>
  <c r="AT216" i="10"/>
  <c r="AS216" i="10"/>
  <c r="AR216" i="10" s="1"/>
  <c r="BP215" i="10"/>
  <c r="BO215" i="10"/>
  <c r="BN215" i="10"/>
  <c r="BM215" i="10"/>
  <c r="BL215" i="10"/>
  <c r="BK215" i="10"/>
  <c r="BJ215" i="10"/>
  <c r="BI215" i="10"/>
  <c r="BH215" i="10"/>
  <c r="BG215" i="10"/>
  <c r="BF215" i="10"/>
  <c r="BE215" i="10"/>
  <c r="BD215" i="10"/>
  <c r="BC215" i="10"/>
  <c r="BB215" i="10"/>
  <c r="BA215" i="10"/>
  <c r="AZ215" i="10"/>
  <c r="AY215" i="10"/>
  <c r="AX215" i="10"/>
  <c r="AW215" i="10"/>
  <c r="AV215" i="10"/>
  <c r="AU215" i="10"/>
  <c r="AT215" i="10"/>
  <c r="AS215" i="10"/>
  <c r="AR215" i="10" s="1"/>
  <c r="BP214" i="10"/>
  <c r="BO214" i="10"/>
  <c r="BN214" i="10"/>
  <c r="BM214" i="10"/>
  <c r="BL214" i="10"/>
  <c r="BK214" i="10"/>
  <c r="BJ214" i="10"/>
  <c r="BI214" i="10"/>
  <c r="BH214" i="10"/>
  <c r="BG214" i="10"/>
  <c r="BF214" i="10"/>
  <c r="BE214" i="10"/>
  <c r="BD214" i="10"/>
  <c r="BC214" i="10"/>
  <c r="BB214" i="10"/>
  <c r="BA214" i="10"/>
  <c r="AZ214" i="10"/>
  <c r="AY214" i="10"/>
  <c r="AX214" i="10"/>
  <c r="AW214" i="10"/>
  <c r="AV214" i="10"/>
  <c r="AU214" i="10"/>
  <c r="AT214" i="10"/>
  <c r="AS214" i="10"/>
  <c r="AR214" i="10" s="1"/>
  <c r="BP213" i="10"/>
  <c r="BO213" i="10"/>
  <c r="BN213" i="10"/>
  <c r="BM213" i="10"/>
  <c r="BL213" i="10"/>
  <c r="BK213" i="10"/>
  <c r="BJ213" i="10"/>
  <c r="BI213" i="10"/>
  <c r="BH213" i="10"/>
  <c r="BG213" i="10"/>
  <c r="BF213" i="10"/>
  <c r="BE213" i="10"/>
  <c r="BD213" i="10"/>
  <c r="BC213" i="10"/>
  <c r="BB213" i="10"/>
  <c r="BA213" i="10"/>
  <c r="AZ213" i="10"/>
  <c r="AY213" i="10"/>
  <c r="AX213" i="10"/>
  <c r="AW213" i="10"/>
  <c r="AV213" i="10"/>
  <c r="AU213" i="10"/>
  <c r="AT213" i="10"/>
  <c r="AS213" i="10"/>
  <c r="AR213" i="10" s="1"/>
  <c r="BP212" i="10"/>
  <c r="BO212" i="10"/>
  <c r="BN212" i="10"/>
  <c r="BM212" i="10"/>
  <c r="BL212" i="10"/>
  <c r="BK212" i="10"/>
  <c r="BJ212" i="10"/>
  <c r="BI212" i="10"/>
  <c r="BH212" i="10"/>
  <c r="BG212" i="10"/>
  <c r="BF212" i="10"/>
  <c r="BE212" i="10"/>
  <c r="BD212" i="10"/>
  <c r="BC212" i="10"/>
  <c r="BB212" i="10"/>
  <c r="BA212" i="10"/>
  <c r="AZ212" i="10"/>
  <c r="AY212" i="10"/>
  <c r="AX212" i="10"/>
  <c r="AW212" i="10"/>
  <c r="AV212" i="10"/>
  <c r="AU212" i="10"/>
  <c r="AT212" i="10"/>
  <c r="AS212" i="10"/>
  <c r="AR212" i="10" s="1"/>
  <c r="BP211" i="10"/>
  <c r="BO211" i="10"/>
  <c r="BN211" i="10"/>
  <c r="BM211" i="10"/>
  <c r="BL211" i="10"/>
  <c r="BK211" i="10"/>
  <c r="BJ211" i="10"/>
  <c r="BI211" i="10"/>
  <c r="BH211" i="10"/>
  <c r="BG211" i="10"/>
  <c r="BF211" i="10"/>
  <c r="BE211" i="10"/>
  <c r="BD211" i="10"/>
  <c r="BC211" i="10"/>
  <c r="BB211" i="10"/>
  <c r="BA211" i="10"/>
  <c r="AZ211" i="10"/>
  <c r="AY211" i="10"/>
  <c r="AX211" i="10"/>
  <c r="AW211" i="10"/>
  <c r="AV211" i="10"/>
  <c r="AU211" i="10"/>
  <c r="AT211" i="10"/>
  <c r="AS211" i="10"/>
  <c r="AR211" i="10" s="1"/>
  <c r="BP210" i="10"/>
  <c r="BO210" i="10"/>
  <c r="BN210" i="10"/>
  <c r="BM210" i="10"/>
  <c r="BL210" i="10"/>
  <c r="BK210" i="10"/>
  <c r="BJ210" i="10"/>
  <c r="BI210" i="10"/>
  <c r="BH210" i="10"/>
  <c r="BG210" i="10"/>
  <c r="BF210" i="10"/>
  <c r="BE210" i="10"/>
  <c r="BD210" i="10"/>
  <c r="BC210" i="10"/>
  <c r="BB210" i="10"/>
  <c r="BA210" i="10"/>
  <c r="AZ210" i="10"/>
  <c r="AY210" i="10"/>
  <c r="AX210" i="10"/>
  <c r="AW210" i="10"/>
  <c r="AV210" i="10"/>
  <c r="AU210" i="10"/>
  <c r="AT210" i="10"/>
  <c r="AS210" i="10"/>
  <c r="AR210" i="10" s="1"/>
  <c r="BP209" i="10"/>
  <c r="BO209" i="10"/>
  <c r="BN209" i="10"/>
  <c r="BM209" i="10"/>
  <c r="BL209" i="10"/>
  <c r="BK209" i="10"/>
  <c r="BJ209" i="10"/>
  <c r="BI209" i="10"/>
  <c r="BH209" i="10"/>
  <c r="BG209" i="10"/>
  <c r="BF209" i="10"/>
  <c r="BE209" i="10"/>
  <c r="BD209" i="10"/>
  <c r="BC209" i="10"/>
  <c r="BB209" i="10"/>
  <c r="BA209" i="10"/>
  <c r="AZ209" i="10"/>
  <c r="AY209" i="10"/>
  <c r="AX209" i="10"/>
  <c r="AW209" i="10"/>
  <c r="AV209" i="10"/>
  <c r="AU209" i="10"/>
  <c r="AT209" i="10"/>
  <c r="AS209" i="10"/>
  <c r="AR209" i="10" s="1"/>
  <c r="BP208" i="10"/>
  <c r="BO208" i="10"/>
  <c r="BN208" i="10"/>
  <c r="BM208" i="10"/>
  <c r="BL208" i="10"/>
  <c r="BK208" i="10"/>
  <c r="BJ208" i="10"/>
  <c r="BI208" i="10"/>
  <c r="BH208" i="10"/>
  <c r="BG208" i="10"/>
  <c r="BF208" i="10"/>
  <c r="BE208" i="10"/>
  <c r="BD208" i="10"/>
  <c r="BC208" i="10"/>
  <c r="BB208" i="10"/>
  <c r="BA208" i="10"/>
  <c r="AZ208" i="10"/>
  <c r="AY208" i="10"/>
  <c r="AX208" i="10"/>
  <c r="AW208" i="10"/>
  <c r="AV208" i="10"/>
  <c r="AU208" i="10"/>
  <c r="AT208" i="10"/>
  <c r="AS208" i="10"/>
  <c r="AR208" i="10" s="1"/>
  <c r="BP207" i="10"/>
  <c r="BO207" i="10"/>
  <c r="BN207" i="10"/>
  <c r="BM207" i="10"/>
  <c r="BL207" i="10"/>
  <c r="BK207" i="10"/>
  <c r="BJ207" i="10"/>
  <c r="BI207" i="10"/>
  <c r="BH207" i="10"/>
  <c r="BG207" i="10"/>
  <c r="BF207" i="10"/>
  <c r="BE207" i="10"/>
  <c r="BD207" i="10"/>
  <c r="BC207" i="10"/>
  <c r="BB207" i="10"/>
  <c r="BA207" i="10"/>
  <c r="AZ207" i="10"/>
  <c r="AY207" i="10"/>
  <c r="AX207" i="10"/>
  <c r="AW207" i="10"/>
  <c r="AV207" i="10"/>
  <c r="AU207" i="10"/>
  <c r="AT207" i="10"/>
  <c r="AS207" i="10"/>
  <c r="AR207" i="10" s="1"/>
  <c r="BP206" i="10"/>
  <c r="BO206" i="10"/>
  <c r="BN206" i="10"/>
  <c r="BM206" i="10"/>
  <c r="BL206" i="10"/>
  <c r="BK206" i="10"/>
  <c r="BJ206" i="10"/>
  <c r="BI206" i="10"/>
  <c r="BH206" i="10"/>
  <c r="BG206" i="10"/>
  <c r="BF206" i="10"/>
  <c r="BE206" i="10"/>
  <c r="BD206" i="10"/>
  <c r="BC206" i="10"/>
  <c r="BB206" i="10"/>
  <c r="BA206" i="10"/>
  <c r="AZ206" i="10"/>
  <c r="AY206" i="10"/>
  <c r="AX206" i="10"/>
  <c r="AW206" i="10"/>
  <c r="AV206" i="10"/>
  <c r="AU206" i="10"/>
  <c r="AT206" i="10"/>
  <c r="AS206" i="10"/>
  <c r="AR206" i="10" s="1"/>
  <c r="BP205" i="10"/>
  <c r="BO205" i="10"/>
  <c r="BN205" i="10"/>
  <c r="BM205" i="10"/>
  <c r="BL205" i="10"/>
  <c r="BK205" i="10"/>
  <c r="BJ205" i="10"/>
  <c r="BI205" i="10"/>
  <c r="BH205" i="10"/>
  <c r="BG205" i="10"/>
  <c r="BF205" i="10"/>
  <c r="BE205" i="10"/>
  <c r="BD205" i="10"/>
  <c r="BC205" i="10"/>
  <c r="BB205" i="10"/>
  <c r="BA205" i="10"/>
  <c r="AZ205" i="10"/>
  <c r="AY205" i="10"/>
  <c r="AX205" i="10"/>
  <c r="AW205" i="10"/>
  <c r="AV205" i="10"/>
  <c r="AU205" i="10"/>
  <c r="AT205" i="10"/>
  <c r="AS205" i="10"/>
  <c r="AR205" i="10" s="1"/>
  <c r="BP204" i="10"/>
  <c r="BO204" i="10"/>
  <c r="BN204" i="10"/>
  <c r="BM204" i="10"/>
  <c r="BL204" i="10"/>
  <c r="BK204" i="10"/>
  <c r="BJ204" i="10"/>
  <c r="BI204" i="10"/>
  <c r="BH204" i="10"/>
  <c r="BG204" i="10"/>
  <c r="BF204" i="10"/>
  <c r="BE204" i="10"/>
  <c r="BD204" i="10"/>
  <c r="BC204" i="10"/>
  <c r="BB204" i="10"/>
  <c r="BA204" i="10"/>
  <c r="AZ204" i="10"/>
  <c r="AY204" i="10"/>
  <c r="AX204" i="10"/>
  <c r="AW204" i="10"/>
  <c r="AV204" i="10"/>
  <c r="AU204" i="10"/>
  <c r="AT204" i="10"/>
  <c r="AS204" i="10"/>
  <c r="AR204" i="10" s="1"/>
  <c r="BP203" i="10"/>
  <c r="BO203" i="10"/>
  <c r="BN203" i="10"/>
  <c r="BM203" i="10"/>
  <c r="BL203" i="10"/>
  <c r="BK203" i="10"/>
  <c r="BJ203" i="10"/>
  <c r="BI203" i="10"/>
  <c r="BH203" i="10"/>
  <c r="BG203" i="10"/>
  <c r="BF203" i="10"/>
  <c r="BE203" i="10"/>
  <c r="BD203" i="10"/>
  <c r="BC203" i="10"/>
  <c r="BB203" i="10"/>
  <c r="BA203" i="10"/>
  <c r="AZ203" i="10"/>
  <c r="AY203" i="10"/>
  <c r="AX203" i="10"/>
  <c r="AW203" i="10"/>
  <c r="AV203" i="10"/>
  <c r="AU203" i="10"/>
  <c r="AT203" i="10"/>
  <c r="AS203" i="10"/>
  <c r="AR203" i="10" s="1"/>
  <c r="BP202" i="10"/>
  <c r="BO202" i="10"/>
  <c r="BN202" i="10"/>
  <c r="BM202" i="10"/>
  <c r="BL202" i="10"/>
  <c r="BK202" i="10"/>
  <c r="BJ202" i="10"/>
  <c r="BI202" i="10"/>
  <c r="BH202" i="10"/>
  <c r="BG202" i="10"/>
  <c r="BF202" i="10"/>
  <c r="BE202" i="10"/>
  <c r="BD202" i="10"/>
  <c r="BC202" i="10"/>
  <c r="BB202" i="10"/>
  <c r="BA202" i="10"/>
  <c r="AZ202" i="10"/>
  <c r="AY202" i="10"/>
  <c r="AX202" i="10"/>
  <c r="AW202" i="10"/>
  <c r="AV202" i="10"/>
  <c r="AU202" i="10"/>
  <c r="AT202" i="10"/>
  <c r="AS202" i="10"/>
  <c r="AR202" i="10" s="1"/>
  <c r="BP201" i="10"/>
  <c r="BO201" i="10"/>
  <c r="BN201" i="10"/>
  <c r="BM201" i="10"/>
  <c r="BL201" i="10"/>
  <c r="BK201" i="10"/>
  <c r="BJ201" i="10"/>
  <c r="BI201" i="10"/>
  <c r="BH201" i="10"/>
  <c r="BG201" i="10"/>
  <c r="BF201" i="10"/>
  <c r="BE201" i="10"/>
  <c r="BD201" i="10"/>
  <c r="BC201" i="10"/>
  <c r="BB201" i="10"/>
  <c r="BA201" i="10"/>
  <c r="AZ201" i="10"/>
  <c r="AY201" i="10"/>
  <c r="AX201" i="10"/>
  <c r="AW201" i="10"/>
  <c r="AV201" i="10"/>
  <c r="AU201" i="10"/>
  <c r="AT201" i="10"/>
  <c r="AS201" i="10"/>
  <c r="AR201" i="10" s="1"/>
  <c r="BP200" i="10"/>
  <c r="BO200" i="10"/>
  <c r="BN200" i="10"/>
  <c r="BM200" i="10"/>
  <c r="BL200" i="10"/>
  <c r="BK200" i="10"/>
  <c r="BJ200" i="10"/>
  <c r="BI200" i="10"/>
  <c r="BH200" i="10"/>
  <c r="BG200" i="10"/>
  <c r="BF200" i="10"/>
  <c r="BE200" i="10"/>
  <c r="BD200" i="10"/>
  <c r="BC200" i="10"/>
  <c r="BB200" i="10"/>
  <c r="BA200" i="10"/>
  <c r="AZ200" i="10"/>
  <c r="AY200" i="10"/>
  <c r="AX200" i="10"/>
  <c r="AW200" i="10"/>
  <c r="AV200" i="10"/>
  <c r="AU200" i="10"/>
  <c r="AT200" i="10"/>
  <c r="AS200" i="10"/>
  <c r="AR200" i="10" s="1"/>
  <c r="BP199" i="10"/>
  <c r="BO199" i="10"/>
  <c r="BN199" i="10"/>
  <c r="BM199" i="10"/>
  <c r="BL199" i="10"/>
  <c r="BK199" i="10"/>
  <c r="BJ199" i="10"/>
  <c r="BI199" i="10"/>
  <c r="BH199" i="10"/>
  <c r="BG199" i="10"/>
  <c r="BF199" i="10"/>
  <c r="BE199" i="10"/>
  <c r="BD199" i="10"/>
  <c r="BC199" i="10"/>
  <c r="BB199" i="10"/>
  <c r="BA199" i="10"/>
  <c r="AZ199" i="10"/>
  <c r="AY199" i="10"/>
  <c r="AX199" i="10"/>
  <c r="AW199" i="10"/>
  <c r="AV199" i="10"/>
  <c r="AU199" i="10"/>
  <c r="AT199" i="10"/>
  <c r="AS199" i="10"/>
  <c r="AR199" i="10" s="1"/>
  <c r="BP198" i="10"/>
  <c r="BO198" i="10"/>
  <c r="BN198" i="10"/>
  <c r="BM198" i="10"/>
  <c r="BL198" i="10"/>
  <c r="BK198" i="10"/>
  <c r="BJ198" i="10"/>
  <c r="BI198" i="10"/>
  <c r="BH198" i="10"/>
  <c r="BG198" i="10"/>
  <c r="BF198" i="10"/>
  <c r="BE198" i="10"/>
  <c r="BD198" i="10"/>
  <c r="BC198" i="10"/>
  <c r="BB198" i="10"/>
  <c r="BA198" i="10"/>
  <c r="AZ198" i="10"/>
  <c r="AY198" i="10"/>
  <c r="AX198" i="10"/>
  <c r="AW198" i="10"/>
  <c r="AV198" i="10"/>
  <c r="AU198" i="10"/>
  <c r="AT198" i="10"/>
  <c r="AS198" i="10"/>
  <c r="AR198" i="10" s="1"/>
  <c r="BP197" i="10"/>
  <c r="BO197" i="10"/>
  <c r="BN197" i="10"/>
  <c r="BM197" i="10"/>
  <c r="BL197" i="10"/>
  <c r="BK197" i="10"/>
  <c r="BJ197" i="10"/>
  <c r="BI197" i="10"/>
  <c r="BH197" i="10"/>
  <c r="BG197" i="10"/>
  <c r="BF197" i="10"/>
  <c r="BE197" i="10"/>
  <c r="BD197" i="10"/>
  <c r="BC197" i="10"/>
  <c r="BB197" i="10"/>
  <c r="BA197" i="10"/>
  <c r="AZ197" i="10"/>
  <c r="AY197" i="10"/>
  <c r="AX197" i="10"/>
  <c r="AW197" i="10"/>
  <c r="AV197" i="10"/>
  <c r="AU197" i="10"/>
  <c r="AT197" i="10"/>
  <c r="AS197" i="10"/>
  <c r="AR197" i="10" s="1"/>
  <c r="BP196" i="10"/>
  <c r="BO196" i="10"/>
  <c r="BN196" i="10"/>
  <c r="BM196" i="10"/>
  <c r="BL196" i="10"/>
  <c r="BK196" i="10"/>
  <c r="BJ196" i="10"/>
  <c r="BI196" i="10"/>
  <c r="BH196" i="10"/>
  <c r="BG196" i="10"/>
  <c r="BF196" i="10"/>
  <c r="BE196" i="10"/>
  <c r="BD196" i="10"/>
  <c r="BC196" i="10"/>
  <c r="BB196" i="10"/>
  <c r="BA196" i="10"/>
  <c r="AZ196" i="10"/>
  <c r="AY196" i="10"/>
  <c r="AX196" i="10"/>
  <c r="AW196" i="10"/>
  <c r="AV196" i="10"/>
  <c r="AU196" i="10"/>
  <c r="AT196" i="10"/>
  <c r="AS196" i="10"/>
  <c r="AR196" i="10" s="1"/>
  <c r="BP195" i="10"/>
  <c r="BO195" i="10"/>
  <c r="BN195" i="10"/>
  <c r="BM195" i="10"/>
  <c r="BL195" i="10"/>
  <c r="BK195" i="10"/>
  <c r="BJ195" i="10"/>
  <c r="BI195" i="10"/>
  <c r="BH195" i="10"/>
  <c r="BG195" i="10"/>
  <c r="BF195" i="10"/>
  <c r="BE195" i="10"/>
  <c r="BD195" i="10"/>
  <c r="BC195" i="10"/>
  <c r="BB195" i="10"/>
  <c r="BA195" i="10"/>
  <c r="AZ195" i="10"/>
  <c r="AY195" i="10"/>
  <c r="AX195" i="10"/>
  <c r="AW195" i="10"/>
  <c r="AV195" i="10"/>
  <c r="AU195" i="10"/>
  <c r="AT195" i="10"/>
  <c r="AS195" i="10"/>
  <c r="AR195" i="10" s="1"/>
  <c r="BP194" i="10"/>
  <c r="BO194" i="10"/>
  <c r="BN194" i="10"/>
  <c r="BM194" i="10"/>
  <c r="BL194" i="10"/>
  <c r="BK194" i="10"/>
  <c r="BJ194" i="10"/>
  <c r="BI194" i="10"/>
  <c r="BH194" i="10"/>
  <c r="BG194" i="10"/>
  <c r="BF194" i="10"/>
  <c r="BE194" i="10"/>
  <c r="BD194" i="10"/>
  <c r="BC194" i="10"/>
  <c r="BB194" i="10"/>
  <c r="BA194" i="10"/>
  <c r="AZ194" i="10"/>
  <c r="AY194" i="10"/>
  <c r="AX194" i="10"/>
  <c r="AW194" i="10"/>
  <c r="AV194" i="10"/>
  <c r="AU194" i="10"/>
  <c r="AT194" i="10"/>
  <c r="AS194" i="10"/>
  <c r="AR194" i="10" s="1"/>
  <c r="BP193" i="10"/>
  <c r="BO193" i="10"/>
  <c r="BN193" i="10"/>
  <c r="BM193" i="10"/>
  <c r="BL193" i="10"/>
  <c r="BK193" i="10"/>
  <c r="BJ193" i="10"/>
  <c r="BI193" i="10"/>
  <c r="BH193" i="10"/>
  <c r="BG193" i="10"/>
  <c r="BF193" i="10"/>
  <c r="BE193" i="10"/>
  <c r="BD193" i="10"/>
  <c r="BC193" i="10"/>
  <c r="BB193" i="10"/>
  <c r="BA193" i="10"/>
  <c r="AZ193" i="10"/>
  <c r="AY193" i="10"/>
  <c r="AX193" i="10"/>
  <c r="AW193" i="10"/>
  <c r="AV193" i="10"/>
  <c r="AU193" i="10"/>
  <c r="AT193" i="10"/>
  <c r="AS193" i="10"/>
  <c r="AR193" i="10" s="1"/>
  <c r="BP192" i="10"/>
  <c r="BO192" i="10"/>
  <c r="BN192" i="10"/>
  <c r="BM192" i="10"/>
  <c r="BL192" i="10"/>
  <c r="BK192" i="10"/>
  <c r="BJ192" i="10"/>
  <c r="BI192" i="10"/>
  <c r="BH192" i="10"/>
  <c r="BG192" i="10"/>
  <c r="BF192" i="10"/>
  <c r="BE192" i="10"/>
  <c r="BD192" i="10"/>
  <c r="BC192" i="10"/>
  <c r="BB192" i="10"/>
  <c r="BA192" i="10"/>
  <c r="AZ192" i="10"/>
  <c r="AY192" i="10"/>
  <c r="AX192" i="10"/>
  <c r="AW192" i="10"/>
  <c r="AV192" i="10"/>
  <c r="AU192" i="10"/>
  <c r="AT192" i="10"/>
  <c r="AS192" i="10"/>
  <c r="AR192" i="10" s="1"/>
  <c r="BP191" i="10"/>
  <c r="BO191" i="10"/>
  <c r="BN191" i="10"/>
  <c r="BM191" i="10"/>
  <c r="BL191" i="10"/>
  <c r="BK191" i="10"/>
  <c r="BJ191" i="10"/>
  <c r="BI191" i="10"/>
  <c r="BH191" i="10"/>
  <c r="BG191" i="10"/>
  <c r="BF191" i="10"/>
  <c r="BE191" i="10"/>
  <c r="BD191" i="10"/>
  <c r="BC191" i="10"/>
  <c r="BB191" i="10"/>
  <c r="BA191" i="10"/>
  <c r="AZ191" i="10"/>
  <c r="AY191" i="10"/>
  <c r="AX191" i="10"/>
  <c r="AW191" i="10"/>
  <c r="AV191" i="10"/>
  <c r="AU191" i="10"/>
  <c r="AT191" i="10"/>
  <c r="AS191" i="10"/>
  <c r="AR191" i="10" s="1"/>
  <c r="BP190" i="10"/>
  <c r="BO190" i="10"/>
  <c r="BN190" i="10"/>
  <c r="BM190" i="10"/>
  <c r="BL190" i="10"/>
  <c r="BK190" i="10"/>
  <c r="BJ190" i="10"/>
  <c r="BI190" i="10"/>
  <c r="BH190" i="10"/>
  <c r="BG190" i="10"/>
  <c r="BF190" i="10"/>
  <c r="BE190" i="10"/>
  <c r="BD190" i="10"/>
  <c r="BC190" i="10"/>
  <c r="BB190" i="10"/>
  <c r="BA190" i="10"/>
  <c r="AZ190" i="10"/>
  <c r="AY190" i="10"/>
  <c r="AX190" i="10"/>
  <c r="AW190" i="10"/>
  <c r="AV190" i="10"/>
  <c r="AU190" i="10"/>
  <c r="AT190" i="10"/>
  <c r="AS190" i="10"/>
  <c r="AR190" i="10" s="1"/>
  <c r="BP189" i="10"/>
  <c r="BO189" i="10"/>
  <c r="BN189" i="10"/>
  <c r="BM189" i="10"/>
  <c r="BL189" i="10"/>
  <c r="BK189" i="10"/>
  <c r="BJ189" i="10"/>
  <c r="BI189" i="10"/>
  <c r="BH189" i="10"/>
  <c r="BG189" i="10"/>
  <c r="BF189" i="10"/>
  <c r="BE189" i="10"/>
  <c r="BD189" i="10"/>
  <c r="BC189" i="10"/>
  <c r="BB189" i="10"/>
  <c r="BA189" i="10"/>
  <c r="AZ189" i="10"/>
  <c r="AY189" i="10"/>
  <c r="AX189" i="10"/>
  <c r="AW189" i="10"/>
  <c r="AV189" i="10"/>
  <c r="AU189" i="10"/>
  <c r="AT189" i="10"/>
  <c r="AS189" i="10"/>
  <c r="AR189" i="10" s="1"/>
  <c r="BP188" i="10"/>
  <c r="BO188" i="10"/>
  <c r="BN188" i="10"/>
  <c r="BM188" i="10"/>
  <c r="BL188" i="10"/>
  <c r="BK188" i="10"/>
  <c r="BJ188" i="10"/>
  <c r="BI188" i="10"/>
  <c r="BH188" i="10"/>
  <c r="BG188" i="10"/>
  <c r="BF188" i="10"/>
  <c r="BE188" i="10"/>
  <c r="BD188" i="10"/>
  <c r="BC188" i="10"/>
  <c r="BB188" i="10"/>
  <c r="BA188" i="10"/>
  <c r="AZ188" i="10"/>
  <c r="AY188" i="10"/>
  <c r="AX188" i="10"/>
  <c r="AW188" i="10"/>
  <c r="AV188" i="10"/>
  <c r="AU188" i="10"/>
  <c r="AT188" i="10"/>
  <c r="AS188" i="10"/>
  <c r="AR188" i="10" s="1"/>
  <c r="BP187" i="10"/>
  <c r="BO187" i="10"/>
  <c r="BN187" i="10"/>
  <c r="BM187" i="10"/>
  <c r="BL187" i="10"/>
  <c r="BK187" i="10"/>
  <c r="BJ187" i="10"/>
  <c r="BI187" i="10"/>
  <c r="BH187" i="10"/>
  <c r="BG187" i="10"/>
  <c r="BF187" i="10"/>
  <c r="BE187" i="10"/>
  <c r="BD187" i="10"/>
  <c r="BC187" i="10"/>
  <c r="BB187" i="10"/>
  <c r="BA187" i="10"/>
  <c r="AZ187" i="10"/>
  <c r="AY187" i="10"/>
  <c r="AX187" i="10"/>
  <c r="AW187" i="10"/>
  <c r="AV187" i="10"/>
  <c r="AU187" i="10"/>
  <c r="AT187" i="10"/>
  <c r="AS187" i="10"/>
  <c r="AR187" i="10" s="1"/>
  <c r="BP186" i="10"/>
  <c r="BO186" i="10"/>
  <c r="BN186" i="10"/>
  <c r="BM186" i="10"/>
  <c r="BL186" i="10"/>
  <c r="BK186" i="10"/>
  <c r="BJ186" i="10"/>
  <c r="BI186" i="10"/>
  <c r="BH186" i="10"/>
  <c r="BG186" i="10"/>
  <c r="BF186" i="10"/>
  <c r="BE186" i="10"/>
  <c r="BD186" i="10"/>
  <c r="BC186" i="10"/>
  <c r="BB186" i="10"/>
  <c r="BA186" i="10"/>
  <c r="AZ186" i="10"/>
  <c r="AY186" i="10"/>
  <c r="AX186" i="10"/>
  <c r="AW186" i="10"/>
  <c r="AV186" i="10"/>
  <c r="AU186" i="10"/>
  <c r="AT186" i="10"/>
  <c r="AS186" i="10"/>
  <c r="AR186" i="10" s="1"/>
  <c r="BP185" i="10"/>
  <c r="BO185" i="10"/>
  <c r="BN185" i="10"/>
  <c r="BM185" i="10"/>
  <c r="BL185" i="10"/>
  <c r="BK185" i="10"/>
  <c r="BJ185" i="10"/>
  <c r="BI185" i="10"/>
  <c r="BH185" i="10"/>
  <c r="BG185" i="10"/>
  <c r="BF185" i="10"/>
  <c r="BE185" i="10"/>
  <c r="BD185" i="10"/>
  <c r="BC185" i="10"/>
  <c r="BB185" i="10"/>
  <c r="BA185" i="10"/>
  <c r="AZ185" i="10"/>
  <c r="AY185" i="10"/>
  <c r="AX185" i="10"/>
  <c r="AW185" i="10"/>
  <c r="AV185" i="10"/>
  <c r="AU185" i="10"/>
  <c r="AT185" i="10"/>
  <c r="AS185" i="10"/>
  <c r="AR185" i="10" s="1"/>
  <c r="BP184" i="10"/>
  <c r="BO184" i="10"/>
  <c r="BN184" i="10"/>
  <c r="BM184" i="10"/>
  <c r="BL184" i="10"/>
  <c r="BK184" i="10"/>
  <c r="BJ184" i="10"/>
  <c r="BI184" i="10"/>
  <c r="BH184" i="10"/>
  <c r="BG184" i="10"/>
  <c r="BF184" i="10"/>
  <c r="BE184" i="10"/>
  <c r="BD184" i="10"/>
  <c r="BC184" i="10"/>
  <c r="BB184" i="10"/>
  <c r="BA184" i="10"/>
  <c r="AZ184" i="10"/>
  <c r="AY184" i="10"/>
  <c r="AX184" i="10"/>
  <c r="AW184" i="10"/>
  <c r="AV184" i="10"/>
  <c r="AU184" i="10"/>
  <c r="AT184" i="10"/>
  <c r="AS184" i="10"/>
  <c r="AR184" i="10" s="1"/>
  <c r="BP183" i="10"/>
  <c r="BO183" i="10"/>
  <c r="BN183" i="10"/>
  <c r="BM183" i="10"/>
  <c r="BL183" i="10"/>
  <c r="BK183" i="10"/>
  <c r="BJ183" i="10"/>
  <c r="BI183" i="10"/>
  <c r="BH183" i="10"/>
  <c r="BG183" i="10"/>
  <c r="BF183" i="10"/>
  <c r="BE183" i="10"/>
  <c r="BD183" i="10"/>
  <c r="BC183" i="10"/>
  <c r="BB183" i="10"/>
  <c r="BA183" i="10"/>
  <c r="AZ183" i="10"/>
  <c r="AY183" i="10"/>
  <c r="AX183" i="10"/>
  <c r="AW183" i="10"/>
  <c r="AV183" i="10"/>
  <c r="AU183" i="10"/>
  <c r="AT183" i="10"/>
  <c r="AS183" i="10"/>
  <c r="AR183" i="10" s="1"/>
  <c r="BP182" i="10"/>
  <c r="BO182" i="10"/>
  <c r="BN182" i="10"/>
  <c r="BM182" i="10"/>
  <c r="BL182" i="10"/>
  <c r="BK182" i="10"/>
  <c r="BJ182" i="10"/>
  <c r="BI182" i="10"/>
  <c r="BH182" i="10"/>
  <c r="BG182" i="10"/>
  <c r="BF182" i="10"/>
  <c r="BE182" i="10"/>
  <c r="BD182" i="10"/>
  <c r="BC182" i="10"/>
  <c r="BB182" i="10"/>
  <c r="BA182" i="10"/>
  <c r="AZ182" i="10"/>
  <c r="AY182" i="10"/>
  <c r="AX182" i="10"/>
  <c r="AW182" i="10"/>
  <c r="AV182" i="10"/>
  <c r="AU182" i="10"/>
  <c r="AT182" i="10"/>
  <c r="AS182" i="10"/>
  <c r="AR182" i="10" s="1"/>
  <c r="BP181" i="10"/>
  <c r="BO181" i="10"/>
  <c r="BN181" i="10"/>
  <c r="BM181" i="10"/>
  <c r="BL181" i="10"/>
  <c r="BK181" i="10"/>
  <c r="BJ181" i="10"/>
  <c r="BI181" i="10"/>
  <c r="BH181" i="10"/>
  <c r="BG181" i="10"/>
  <c r="BF181" i="10"/>
  <c r="BE181" i="10"/>
  <c r="BD181" i="10"/>
  <c r="BC181" i="10"/>
  <c r="BB181" i="10"/>
  <c r="BA181" i="10"/>
  <c r="AZ181" i="10"/>
  <c r="AY181" i="10"/>
  <c r="AX181" i="10"/>
  <c r="AW181" i="10"/>
  <c r="AV181" i="10"/>
  <c r="AU181" i="10"/>
  <c r="AT181" i="10"/>
  <c r="AS181" i="10"/>
  <c r="AR181" i="10" s="1"/>
  <c r="BP180" i="10"/>
  <c r="BO180" i="10"/>
  <c r="BN180" i="10"/>
  <c r="BM180" i="10"/>
  <c r="BL180" i="10"/>
  <c r="BK180" i="10"/>
  <c r="BJ180" i="10"/>
  <c r="BI180" i="10"/>
  <c r="BH180" i="10"/>
  <c r="BG180" i="10"/>
  <c r="BF180" i="10"/>
  <c r="BE180" i="10"/>
  <c r="BD180" i="10"/>
  <c r="BC180" i="10"/>
  <c r="BB180" i="10"/>
  <c r="BA180" i="10"/>
  <c r="AZ180" i="10"/>
  <c r="AY180" i="10"/>
  <c r="AX180" i="10"/>
  <c r="AW180" i="10"/>
  <c r="AV180" i="10"/>
  <c r="AU180" i="10"/>
  <c r="AT180" i="10"/>
  <c r="AS180" i="10"/>
  <c r="AR180" i="10" s="1"/>
  <c r="BP179" i="10"/>
  <c r="BO179" i="10"/>
  <c r="BN179" i="10"/>
  <c r="BM179" i="10"/>
  <c r="BL179" i="10"/>
  <c r="BK179" i="10"/>
  <c r="BJ179" i="10"/>
  <c r="BI179" i="10"/>
  <c r="BH179" i="10"/>
  <c r="BG179" i="10"/>
  <c r="BF179" i="10"/>
  <c r="BE179" i="10"/>
  <c r="BD179" i="10"/>
  <c r="BC179" i="10"/>
  <c r="BB179" i="10"/>
  <c r="BA179" i="10"/>
  <c r="AZ179" i="10"/>
  <c r="AY179" i="10"/>
  <c r="AX179" i="10"/>
  <c r="AW179" i="10"/>
  <c r="AV179" i="10"/>
  <c r="AU179" i="10"/>
  <c r="AT179" i="10"/>
  <c r="AS179" i="10"/>
  <c r="AR179" i="10" s="1"/>
  <c r="BP178" i="10"/>
  <c r="BO178" i="10"/>
  <c r="BN178" i="10"/>
  <c r="BM178" i="10"/>
  <c r="BL178" i="10"/>
  <c r="BK178" i="10"/>
  <c r="BJ178" i="10"/>
  <c r="BI178" i="10"/>
  <c r="BH178" i="10"/>
  <c r="BG178" i="10"/>
  <c r="BF178" i="10"/>
  <c r="BE178" i="10"/>
  <c r="BD178" i="10"/>
  <c r="BC178" i="10"/>
  <c r="BB178" i="10"/>
  <c r="BA178" i="10"/>
  <c r="AZ178" i="10"/>
  <c r="AY178" i="10"/>
  <c r="AX178" i="10"/>
  <c r="AW178" i="10"/>
  <c r="AV178" i="10"/>
  <c r="AU178" i="10"/>
  <c r="AT178" i="10"/>
  <c r="AS178" i="10"/>
  <c r="AR178" i="10" s="1"/>
  <c r="BP177" i="10"/>
  <c r="BO177" i="10"/>
  <c r="BN177" i="10"/>
  <c r="BM177" i="10"/>
  <c r="BL177" i="10"/>
  <c r="BK177" i="10"/>
  <c r="BJ177" i="10"/>
  <c r="BI177" i="10"/>
  <c r="BH177" i="10"/>
  <c r="BG177" i="10"/>
  <c r="BF177" i="10"/>
  <c r="BE177" i="10"/>
  <c r="BD177" i="10"/>
  <c r="BC177" i="10"/>
  <c r="BB177" i="10"/>
  <c r="BA177" i="10"/>
  <c r="AZ177" i="10"/>
  <c r="AY177" i="10"/>
  <c r="AX177" i="10"/>
  <c r="AW177" i="10"/>
  <c r="AV177" i="10"/>
  <c r="AU177" i="10"/>
  <c r="AT177" i="10"/>
  <c r="AS177" i="10"/>
  <c r="AR177" i="10" s="1"/>
  <c r="BP176" i="10"/>
  <c r="BO176" i="10"/>
  <c r="BN176" i="10"/>
  <c r="BM176" i="10"/>
  <c r="BL176" i="10"/>
  <c r="BK176" i="10"/>
  <c r="BJ176" i="10"/>
  <c r="BI176" i="10"/>
  <c r="BH176" i="10"/>
  <c r="BG176" i="10"/>
  <c r="BF176" i="10"/>
  <c r="BE176" i="10"/>
  <c r="BD176" i="10"/>
  <c r="BC176" i="10"/>
  <c r="BB176" i="10"/>
  <c r="BA176" i="10"/>
  <c r="AZ176" i="10"/>
  <c r="AY176" i="10"/>
  <c r="AX176" i="10"/>
  <c r="AW176" i="10"/>
  <c r="AV176" i="10"/>
  <c r="AU176" i="10"/>
  <c r="AT176" i="10"/>
  <c r="AS176" i="10"/>
  <c r="AR176" i="10" s="1"/>
  <c r="BP175" i="10"/>
  <c r="BO175" i="10"/>
  <c r="BN175" i="10"/>
  <c r="BM175" i="10"/>
  <c r="BL175" i="10"/>
  <c r="BK175" i="10"/>
  <c r="BJ175" i="10"/>
  <c r="BI175" i="10"/>
  <c r="BH175" i="10"/>
  <c r="BG175" i="10"/>
  <c r="BF175" i="10"/>
  <c r="BE175" i="10"/>
  <c r="BD175" i="10"/>
  <c r="BC175" i="10"/>
  <c r="BB175" i="10"/>
  <c r="BA175" i="10"/>
  <c r="AZ175" i="10"/>
  <c r="AY175" i="10"/>
  <c r="AX175" i="10"/>
  <c r="AW175" i="10"/>
  <c r="AV175" i="10"/>
  <c r="AU175" i="10"/>
  <c r="AT175" i="10"/>
  <c r="AS175" i="10"/>
  <c r="AR175" i="10" s="1"/>
  <c r="BP174" i="10"/>
  <c r="BO174" i="10"/>
  <c r="BN174" i="10"/>
  <c r="BM174" i="10"/>
  <c r="BL174" i="10"/>
  <c r="BK174" i="10"/>
  <c r="BJ174" i="10"/>
  <c r="BI174" i="10"/>
  <c r="BH174" i="10"/>
  <c r="BG174" i="10"/>
  <c r="BF174" i="10"/>
  <c r="BE174" i="10"/>
  <c r="BD174" i="10"/>
  <c r="BC174" i="10"/>
  <c r="BB174" i="10"/>
  <c r="BA174" i="10"/>
  <c r="AZ174" i="10"/>
  <c r="AY174" i="10"/>
  <c r="AX174" i="10"/>
  <c r="AW174" i="10"/>
  <c r="AV174" i="10"/>
  <c r="AU174" i="10"/>
  <c r="AT174" i="10"/>
  <c r="AS174" i="10"/>
  <c r="AR174" i="10" s="1"/>
  <c r="BP173" i="10"/>
  <c r="BO173" i="10"/>
  <c r="BN173" i="10"/>
  <c r="BM173" i="10"/>
  <c r="BL173" i="10"/>
  <c r="BK173" i="10"/>
  <c r="BJ173" i="10"/>
  <c r="BI173" i="10"/>
  <c r="BH173" i="10"/>
  <c r="BG173" i="10"/>
  <c r="BF173" i="10"/>
  <c r="BE173" i="10"/>
  <c r="BD173" i="10"/>
  <c r="BC173" i="10"/>
  <c r="BB173" i="10"/>
  <c r="BA173" i="10"/>
  <c r="AZ173" i="10"/>
  <c r="AY173" i="10"/>
  <c r="AX173" i="10"/>
  <c r="AW173" i="10"/>
  <c r="AV173" i="10"/>
  <c r="AU173" i="10"/>
  <c r="AT173" i="10"/>
  <c r="AS173" i="10"/>
  <c r="AR173" i="10" s="1"/>
  <c r="BP172" i="10"/>
  <c r="BO172" i="10"/>
  <c r="BN172" i="10"/>
  <c r="BM172" i="10"/>
  <c r="BL172" i="10"/>
  <c r="BK172" i="10"/>
  <c r="BJ172" i="10"/>
  <c r="BI172" i="10"/>
  <c r="BH172" i="10"/>
  <c r="BG172" i="10"/>
  <c r="BF172" i="10"/>
  <c r="BE172" i="10"/>
  <c r="BD172" i="10"/>
  <c r="BC172" i="10"/>
  <c r="BB172" i="10"/>
  <c r="BA172" i="10"/>
  <c r="AZ172" i="10"/>
  <c r="AY172" i="10"/>
  <c r="AX172" i="10"/>
  <c r="AW172" i="10"/>
  <c r="AV172" i="10"/>
  <c r="AU172" i="10"/>
  <c r="AT172" i="10"/>
  <c r="AS172" i="10"/>
  <c r="AR172" i="10" s="1"/>
  <c r="BP171" i="10"/>
  <c r="BO171" i="10"/>
  <c r="BN171" i="10"/>
  <c r="BM171" i="10"/>
  <c r="BL171" i="10"/>
  <c r="BK171" i="10"/>
  <c r="BJ171" i="10"/>
  <c r="BI171" i="10"/>
  <c r="BH171" i="10"/>
  <c r="BG171" i="10"/>
  <c r="BF171" i="10"/>
  <c r="BE171" i="10"/>
  <c r="BD171" i="10"/>
  <c r="BC171" i="10"/>
  <c r="BB171" i="10"/>
  <c r="BA171" i="10"/>
  <c r="AZ171" i="10"/>
  <c r="AY171" i="10"/>
  <c r="AX171" i="10"/>
  <c r="AW171" i="10"/>
  <c r="AV171" i="10"/>
  <c r="AU171" i="10"/>
  <c r="AT171" i="10"/>
  <c r="AS171" i="10"/>
  <c r="AR171" i="10" s="1"/>
  <c r="BP170" i="10"/>
  <c r="BO170" i="10"/>
  <c r="BN170" i="10"/>
  <c r="BM170" i="10"/>
  <c r="BL170" i="10"/>
  <c r="BK170" i="10"/>
  <c r="BJ170" i="10"/>
  <c r="BI170" i="10"/>
  <c r="BH170" i="10"/>
  <c r="BG170" i="10"/>
  <c r="BF170" i="10"/>
  <c r="BE170" i="10"/>
  <c r="BD170" i="10"/>
  <c r="BC170" i="10"/>
  <c r="BB170" i="10"/>
  <c r="BA170" i="10"/>
  <c r="AZ170" i="10"/>
  <c r="AY170" i="10"/>
  <c r="AX170" i="10"/>
  <c r="AW170" i="10"/>
  <c r="AV170" i="10"/>
  <c r="AU170" i="10"/>
  <c r="AT170" i="10"/>
  <c r="AS170" i="10"/>
  <c r="AR170" i="10" s="1"/>
  <c r="BP169" i="10"/>
  <c r="BO169" i="10"/>
  <c r="BN169" i="10"/>
  <c r="BM169" i="10"/>
  <c r="BL169" i="10"/>
  <c r="BK169" i="10"/>
  <c r="BJ169" i="10"/>
  <c r="BI169" i="10"/>
  <c r="BH169" i="10"/>
  <c r="BG169" i="10"/>
  <c r="BF169" i="10"/>
  <c r="BE169" i="10"/>
  <c r="BD169" i="10"/>
  <c r="BC169" i="10"/>
  <c r="BB169" i="10"/>
  <c r="BA169" i="10"/>
  <c r="AZ169" i="10"/>
  <c r="AY169" i="10"/>
  <c r="AX169" i="10"/>
  <c r="AW169" i="10"/>
  <c r="AV169" i="10"/>
  <c r="AU169" i="10"/>
  <c r="AT169" i="10"/>
  <c r="AS169" i="10"/>
  <c r="AR169" i="10" s="1"/>
  <c r="BP168" i="10"/>
  <c r="BO168" i="10"/>
  <c r="BN168" i="10"/>
  <c r="BM168" i="10"/>
  <c r="BL168" i="10"/>
  <c r="BK168" i="10"/>
  <c r="BJ168" i="10"/>
  <c r="BI168" i="10"/>
  <c r="BH168" i="10"/>
  <c r="BG168" i="10"/>
  <c r="BF168" i="10"/>
  <c r="BE168" i="10"/>
  <c r="BD168" i="10"/>
  <c r="BC168" i="10"/>
  <c r="BB168" i="10"/>
  <c r="BA168" i="10"/>
  <c r="AZ168" i="10"/>
  <c r="AY168" i="10"/>
  <c r="AX168" i="10"/>
  <c r="AW168" i="10"/>
  <c r="AV168" i="10"/>
  <c r="AU168" i="10"/>
  <c r="AT168" i="10"/>
  <c r="AS168" i="10"/>
  <c r="AR168" i="10" s="1"/>
  <c r="BP167" i="10"/>
  <c r="BO167" i="10"/>
  <c r="BN167" i="10"/>
  <c r="BM167" i="10"/>
  <c r="BL167" i="10"/>
  <c r="BK167" i="10"/>
  <c r="BJ167" i="10"/>
  <c r="BI167" i="10"/>
  <c r="BH167" i="10"/>
  <c r="BG167" i="10"/>
  <c r="BF167" i="10"/>
  <c r="BE167" i="10"/>
  <c r="BD167" i="10"/>
  <c r="BC167" i="10"/>
  <c r="BB167" i="10"/>
  <c r="BA167" i="10"/>
  <c r="AZ167" i="10"/>
  <c r="AY167" i="10"/>
  <c r="AX167" i="10"/>
  <c r="AW167" i="10"/>
  <c r="AV167" i="10"/>
  <c r="AU167" i="10"/>
  <c r="AT167" i="10"/>
  <c r="AS167" i="10"/>
  <c r="AR167" i="10" s="1"/>
  <c r="BP166" i="10"/>
  <c r="BO166" i="10"/>
  <c r="BN166" i="10"/>
  <c r="BM166" i="10"/>
  <c r="BL166" i="10"/>
  <c r="BK166" i="10"/>
  <c r="BJ166" i="10"/>
  <c r="BI166" i="10"/>
  <c r="BH166" i="10"/>
  <c r="BG166" i="10"/>
  <c r="BF166" i="10"/>
  <c r="BE166" i="10"/>
  <c r="BD166" i="10"/>
  <c r="BC166" i="10"/>
  <c r="BB166" i="10"/>
  <c r="BA166" i="10"/>
  <c r="AZ166" i="10"/>
  <c r="AY166" i="10"/>
  <c r="AX166" i="10"/>
  <c r="AW166" i="10"/>
  <c r="AV166" i="10"/>
  <c r="AU166" i="10"/>
  <c r="AT166" i="10"/>
  <c r="AS166" i="10"/>
  <c r="AR166" i="10" s="1"/>
  <c r="BP165" i="10"/>
  <c r="BO165" i="10"/>
  <c r="BN165" i="10"/>
  <c r="BM165" i="10"/>
  <c r="BL165" i="10"/>
  <c r="BK165" i="10"/>
  <c r="BJ165" i="10"/>
  <c r="BI165" i="10"/>
  <c r="BH165" i="10"/>
  <c r="BG165" i="10"/>
  <c r="BF165" i="10"/>
  <c r="BE165" i="10"/>
  <c r="BD165" i="10"/>
  <c r="BC165" i="10"/>
  <c r="BB165" i="10"/>
  <c r="BA165" i="10"/>
  <c r="AZ165" i="10"/>
  <c r="AY165" i="10"/>
  <c r="AX165" i="10"/>
  <c r="AW165" i="10"/>
  <c r="AV165" i="10"/>
  <c r="AU165" i="10"/>
  <c r="AT165" i="10"/>
  <c r="AS165" i="10"/>
  <c r="AR165" i="10" s="1"/>
  <c r="BP164" i="10"/>
  <c r="BO164" i="10"/>
  <c r="BN164" i="10"/>
  <c r="BM164" i="10"/>
  <c r="BL164" i="10"/>
  <c r="BK164" i="10"/>
  <c r="BJ164" i="10"/>
  <c r="BI164" i="10"/>
  <c r="BH164" i="10"/>
  <c r="BG164" i="10"/>
  <c r="BF164" i="10"/>
  <c r="BE164" i="10"/>
  <c r="BD164" i="10"/>
  <c r="BC164" i="10"/>
  <c r="BB164" i="10"/>
  <c r="BA164" i="10"/>
  <c r="AZ164" i="10"/>
  <c r="AY164" i="10"/>
  <c r="AX164" i="10"/>
  <c r="AW164" i="10"/>
  <c r="AV164" i="10"/>
  <c r="AU164" i="10"/>
  <c r="AT164" i="10"/>
  <c r="AS164" i="10"/>
  <c r="AR164" i="10" s="1"/>
  <c r="BP163" i="10"/>
  <c r="BO163" i="10"/>
  <c r="BN163" i="10"/>
  <c r="BM163" i="10"/>
  <c r="BL163" i="10"/>
  <c r="BK163" i="10"/>
  <c r="BJ163" i="10"/>
  <c r="BI163" i="10"/>
  <c r="BH163" i="10"/>
  <c r="BG163" i="10"/>
  <c r="BF163" i="10"/>
  <c r="BE163" i="10"/>
  <c r="BD163" i="10"/>
  <c r="BC163" i="10"/>
  <c r="BB163" i="10"/>
  <c r="BA163" i="10"/>
  <c r="AZ163" i="10"/>
  <c r="AY163" i="10"/>
  <c r="AX163" i="10"/>
  <c r="AW163" i="10"/>
  <c r="AV163" i="10"/>
  <c r="AU163" i="10"/>
  <c r="AT163" i="10"/>
  <c r="AS163" i="10"/>
  <c r="AR163" i="10" s="1"/>
  <c r="BP162" i="10"/>
  <c r="BO162" i="10"/>
  <c r="BN162" i="10"/>
  <c r="BM162" i="10"/>
  <c r="BL162" i="10"/>
  <c r="BK162" i="10"/>
  <c r="BJ162" i="10"/>
  <c r="BI162" i="10"/>
  <c r="BH162" i="10"/>
  <c r="BG162" i="10"/>
  <c r="BF162" i="10"/>
  <c r="BE162" i="10"/>
  <c r="BD162" i="10"/>
  <c r="BC162" i="10"/>
  <c r="BB162" i="10"/>
  <c r="BA162" i="10"/>
  <c r="AZ162" i="10"/>
  <c r="AY162" i="10"/>
  <c r="AX162" i="10"/>
  <c r="AW162" i="10"/>
  <c r="AV162" i="10"/>
  <c r="AU162" i="10"/>
  <c r="AT162" i="10"/>
  <c r="AS162" i="10"/>
  <c r="AR162" i="10" s="1"/>
  <c r="BP161" i="10"/>
  <c r="BO161" i="10"/>
  <c r="BN161" i="10"/>
  <c r="BM161" i="10"/>
  <c r="BL161" i="10"/>
  <c r="BK161" i="10"/>
  <c r="BJ161" i="10"/>
  <c r="BI161" i="10"/>
  <c r="BH161" i="10"/>
  <c r="BG161" i="10"/>
  <c r="BF161" i="10"/>
  <c r="BE161" i="10"/>
  <c r="BD161" i="10"/>
  <c r="BC161" i="10"/>
  <c r="BB161" i="10"/>
  <c r="BA161" i="10"/>
  <c r="AZ161" i="10"/>
  <c r="AY161" i="10"/>
  <c r="AX161" i="10"/>
  <c r="AW161" i="10"/>
  <c r="AV161" i="10"/>
  <c r="AU161" i="10"/>
  <c r="AT161" i="10"/>
  <c r="AS161" i="10"/>
  <c r="AR161" i="10" s="1"/>
  <c r="BP160" i="10"/>
  <c r="BO160" i="10"/>
  <c r="BN160" i="10"/>
  <c r="BM160" i="10"/>
  <c r="BL160" i="10"/>
  <c r="BK160" i="10"/>
  <c r="BJ160" i="10"/>
  <c r="BI160" i="10"/>
  <c r="BH160" i="10"/>
  <c r="BG160" i="10"/>
  <c r="BF160" i="10"/>
  <c r="BE160" i="10"/>
  <c r="BD160" i="10"/>
  <c r="BC160" i="10"/>
  <c r="BB160" i="10"/>
  <c r="BA160" i="10"/>
  <c r="AZ160" i="10"/>
  <c r="AY160" i="10"/>
  <c r="AX160" i="10"/>
  <c r="AW160" i="10"/>
  <c r="AV160" i="10"/>
  <c r="AU160" i="10"/>
  <c r="AT160" i="10"/>
  <c r="AS160" i="10"/>
  <c r="AR160" i="10" s="1"/>
  <c r="BP159" i="10"/>
  <c r="BO159" i="10"/>
  <c r="BN159" i="10"/>
  <c r="BM159" i="10"/>
  <c r="BL159" i="10"/>
  <c r="BK159" i="10"/>
  <c r="BJ159" i="10"/>
  <c r="BI159" i="10"/>
  <c r="BH159" i="10"/>
  <c r="BG159" i="10"/>
  <c r="BF159" i="10"/>
  <c r="BE159" i="10"/>
  <c r="BD159" i="10"/>
  <c r="BC159" i="10"/>
  <c r="BB159" i="10"/>
  <c r="BA159" i="10"/>
  <c r="AZ159" i="10"/>
  <c r="AY159" i="10"/>
  <c r="AX159" i="10"/>
  <c r="AW159" i="10"/>
  <c r="AV159" i="10"/>
  <c r="AU159" i="10"/>
  <c r="AT159" i="10"/>
  <c r="AS159" i="10"/>
  <c r="AR159" i="10" s="1"/>
  <c r="BP158" i="10"/>
  <c r="BO158" i="10"/>
  <c r="BN158" i="10"/>
  <c r="BM158" i="10"/>
  <c r="BL158" i="10"/>
  <c r="BK158" i="10"/>
  <c r="BJ158" i="10"/>
  <c r="BI158" i="10"/>
  <c r="BH158" i="10"/>
  <c r="BG158" i="10"/>
  <c r="BF158" i="10"/>
  <c r="BE158" i="10"/>
  <c r="BD158" i="10"/>
  <c r="BC158" i="10"/>
  <c r="BB158" i="10"/>
  <c r="BA158" i="10"/>
  <c r="AZ158" i="10"/>
  <c r="AY158" i="10"/>
  <c r="AX158" i="10"/>
  <c r="AW158" i="10"/>
  <c r="AV158" i="10"/>
  <c r="AU158" i="10"/>
  <c r="AT158" i="10"/>
  <c r="AS158" i="10"/>
  <c r="AR158" i="10" s="1"/>
  <c r="BP157" i="10"/>
  <c r="BO157" i="10"/>
  <c r="BN157" i="10"/>
  <c r="BM157" i="10"/>
  <c r="BL157" i="10"/>
  <c r="BK157" i="10"/>
  <c r="BJ157" i="10"/>
  <c r="BI157" i="10"/>
  <c r="BH157" i="10"/>
  <c r="BG157" i="10"/>
  <c r="BF157" i="10"/>
  <c r="BE157" i="10"/>
  <c r="BD157" i="10"/>
  <c r="BC157" i="10"/>
  <c r="BB157" i="10"/>
  <c r="BA157" i="10"/>
  <c r="AZ157" i="10"/>
  <c r="AY157" i="10"/>
  <c r="AX157" i="10"/>
  <c r="AW157" i="10"/>
  <c r="AV157" i="10"/>
  <c r="AU157" i="10"/>
  <c r="AT157" i="10"/>
  <c r="AS157" i="10"/>
  <c r="AR157" i="10" s="1"/>
  <c r="BP156" i="10"/>
  <c r="BO156" i="10"/>
  <c r="BN156" i="10"/>
  <c r="BM156" i="10"/>
  <c r="BL156" i="10"/>
  <c r="BK156" i="10"/>
  <c r="BJ156" i="10"/>
  <c r="BI156" i="10"/>
  <c r="BH156" i="10"/>
  <c r="BG156" i="10"/>
  <c r="BF156" i="10"/>
  <c r="BE156" i="10"/>
  <c r="BD156" i="10"/>
  <c r="BC156" i="10"/>
  <c r="BB156" i="10"/>
  <c r="BA156" i="10"/>
  <c r="AZ156" i="10"/>
  <c r="AY156" i="10"/>
  <c r="AX156" i="10"/>
  <c r="AW156" i="10"/>
  <c r="AV156" i="10"/>
  <c r="AU156" i="10"/>
  <c r="AT156" i="10"/>
  <c r="AS156" i="10"/>
  <c r="AR156" i="10" s="1"/>
  <c r="BP155" i="10"/>
  <c r="BO155" i="10"/>
  <c r="BN155" i="10"/>
  <c r="BM155" i="10"/>
  <c r="BL155" i="10"/>
  <c r="BK155" i="10"/>
  <c r="BJ155" i="10"/>
  <c r="BI155" i="10"/>
  <c r="BH155" i="10"/>
  <c r="BG155" i="10"/>
  <c r="BF155" i="10"/>
  <c r="BE155" i="10"/>
  <c r="BD155" i="10"/>
  <c r="BC155" i="10"/>
  <c r="BB155" i="10"/>
  <c r="BA155" i="10"/>
  <c r="AZ155" i="10"/>
  <c r="AY155" i="10"/>
  <c r="AX155" i="10"/>
  <c r="AW155" i="10"/>
  <c r="AV155" i="10"/>
  <c r="AU155" i="10"/>
  <c r="AT155" i="10"/>
  <c r="AS155" i="10"/>
  <c r="AR155" i="10" s="1"/>
  <c r="BP154" i="10"/>
  <c r="BO154" i="10"/>
  <c r="BN154" i="10"/>
  <c r="BM154" i="10"/>
  <c r="BL154" i="10"/>
  <c r="BK154" i="10"/>
  <c r="BJ154" i="10"/>
  <c r="BI154" i="10"/>
  <c r="BH154" i="10"/>
  <c r="BG154" i="10"/>
  <c r="BF154" i="10"/>
  <c r="BE154" i="10"/>
  <c r="BD154" i="10"/>
  <c r="BC154" i="10"/>
  <c r="BB154" i="10"/>
  <c r="BA154" i="10"/>
  <c r="AZ154" i="10"/>
  <c r="AY154" i="10"/>
  <c r="AX154" i="10"/>
  <c r="AW154" i="10"/>
  <c r="AV154" i="10"/>
  <c r="AU154" i="10"/>
  <c r="AT154" i="10"/>
  <c r="AS154" i="10"/>
  <c r="AR154" i="10" s="1"/>
  <c r="BP153" i="10"/>
  <c r="BO153" i="10"/>
  <c r="BN153" i="10"/>
  <c r="BM153" i="10"/>
  <c r="BL153" i="10"/>
  <c r="BK153" i="10"/>
  <c r="BJ153" i="10"/>
  <c r="BI153" i="10"/>
  <c r="BH153" i="10"/>
  <c r="BG153" i="10"/>
  <c r="BF153" i="10"/>
  <c r="BE153" i="10"/>
  <c r="BD153" i="10"/>
  <c r="BC153" i="10"/>
  <c r="BB153" i="10"/>
  <c r="BA153" i="10"/>
  <c r="AZ153" i="10"/>
  <c r="AY153" i="10"/>
  <c r="AX153" i="10"/>
  <c r="AW153" i="10"/>
  <c r="AV153" i="10"/>
  <c r="AU153" i="10"/>
  <c r="AT153" i="10"/>
  <c r="AS153" i="10"/>
  <c r="AR153" i="10" s="1"/>
  <c r="BP152" i="10"/>
  <c r="BO152" i="10"/>
  <c r="BN152" i="10"/>
  <c r="BM152" i="10"/>
  <c r="BL152" i="10"/>
  <c r="BK152" i="10"/>
  <c r="BJ152" i="10"/>
  <c r="BI152" i="10"/>
  <c r="BH152" i="10"/>
  <c r="BG152" i="10"/>
  <c r="BF152" i="10"/>
  <c r="BE152" i="10"/>
  <c r="BD152" i="10"/>
  <c r="BC152" i="10"/>
  <c r="BB152" i="10"/>
  <c r="BA152" i="10"/>
  <c r="AZ152" i="10"/>
  <c r="AY152" i="10"/>
  <c r="AX152" i="10"/>
  <c r="AW152" i="10"/>
  <c r="AV152" i="10"/>
  <c r="AU152" i="10"/>
  <c r="AT152" i="10"/>
  <c r="AS152" i="10"/>
  <c r="AR152" i="10" s="1"/>
  <c r="BP151" i="10"/>
  <c r="BO151" i="10"/>
  <c r="BN151" i="10"/>
  <c r="BM151" i="10"/>
  <c r="BL151" i="10"/>
  <c r="BK151" i="10"/>
  <c r="BJ151" i="10"/>
  <c r="BI151" i="10"/>
  <c r="BH151" i="10"/>
  <c r="BG151" i="10"/>
  <c r="BF151" i="10"/>
  <c r="BE151" i="10"/>
  <c r="BD151" i="10"/>
  <c r="BC151" i="10"/>
  <c r="BB151" i="10"/>
  <c r="BA151" i="10"/>
  <c r="AZ151" i="10"/>
  <c r="AY151" i="10"/>
  <c r="AX151" i="10"/>
  <c r="AW151" i="10"/>
  <c r="AV151" i="10"/>
  <c r="AU151" i="10"/>
  <c r="AT151" i="10"/>
  <c r="AS151" i="10"/>
  <c r="AR151" i="10" s="1"/>
  <c r="BP150" i="10"/>
  <c r="BO150" i="10"/>
  <c r="BN150" i="10"/>
  <c r="BM150" i="10"/>
  <c r="BL150" i="10"/>
  <c r="BK150" i="10"/>
  <c r="BJ150" i="10"/>
  <c r="BI150" i="10"/>
  <c r="BH150" i="10"/>
  <c r="BG150" i="10"/>
  <c r="BF150" i="10"/>
  <c r="BE150" i="10"/>
  <c r="BD150" i="10"/>
  <c r="BC150" i="10"/>
  <c r="BB150" i="10"/>
  <c r="BA150" i="10"/>
  <c r="AZ150" i="10"/>
  <c r="AY150" i="10"/>
  <c r="AX150" i="10"/>
  <c r="AW150" i="10"/>
  <c r="AV150" i="10"/>
  <c r="AU150" i="10"/>
  <c r="AT150" i="10"/>
  <c r="AS150" i="10"/>
  <c r="AR150" i="10" s="1"/>
  <c r="BP149" i="10"/>
  <c r="BO149" i="10"/>
  <c r="BN149" i="10"/>
  <c r="BM149" i="10"/>
  <c r="BL149" i="10"/>
  <c r="BK149" i="10"/>
  <c r="BJ149" i="10"/>
  <c r="BI149" i="10"/>
  <c r="BH149" i="10"/>
  <c r="BG149" i="10"/>
  <c r="BF149" i="10"/>
  <c r="BE149" i="10"/>
  <c r="BD149" i="10"/>
  <c r="BC149" i="10"/>
  <c r="BB149" i="10"/>
  <c r="BA149" i="10"/>
  <c r="AZ149" i="10"/>
  <c r="AY149" i="10"/>
  <c r="AX149" i="10"/>
  <c r="AW149" i="10"/>
  <c r="AV149" i="10"/>
  <c r="AU149" i="10"/>
  <c r="AT149" i="10"/>
  <c r="AS149" i="10"/>
  <c r="AR149" i="10" s="1"/>
  <c r="BP148" i="10"/>
  <c r="BO148" i="10"/>
  <c r="BN148" i="10"/>
  <c r="BM148" i="10"/>
  <c r="BL148" i="10"/>
  <c r="BK148" i="10"/>
  <c r="BJ148" i="10"/>
  <c r="BI148" i="10"/>
  <c r="BH148" i="10"/>
  <c r="BG148" i="10"/>
  <c r="BF148" i="10"/>
  <c r="BE148" i="10"/>
  <c r="BD148" i="10"/>
  <c r="BC148" i="10"/>
  <c r="BB148" i="10"/>
  <c r="BA148" i="10"/>
  <c r="AZ148" i="10"/>
  <c r="AY148" i="10"/>
  <c r="AX148" i="10"/>
  <c r="AW148" i="10"/>
  <c r="AV148" i="10"/>
  <c r="AU148" i="10"/>
  <c r="AT148" i="10"/>
  <c r="AS148" i="10"/>
  <c r="AR148" i="10" s="1"/>
  <c r="BP147" i="10"/>
  <c r="BO147" i="10"/>
  <c r="BN147" i="10"/>
  <c r="BM147" i="10"/>
  <c r="BL147" i="10"/>
  <c r="BK147" i="10"/>
  <c r="BJ147" i="10"/>
  <c r="BI147" i="10"/>
  <c r="BH147" i="10"/>
  <c r="BG147" i="10"/>
  <c r="BF147" i="10"/>
  <c r="BE147" i="10"/>
  <c r="BD147" i="10"/>
  <c r="BC147" i="10"/>
  <c r="BB147" i="10"/>
  <c r="BA147" i="10"/>
  <c r="AZ147" i="10"/>
  <c r="AY147" i="10"/>
  <c r="AX147" i="10"/>
  <c r="AW147" i="10"/>
  <c r="AV147" i="10"/>
  <c r="AU147" i="10"/>
  <c r="AT147" i="10"/>
  <c r="AS147" i="10"/>
  <c r="AR147" i="10" s="1"/>
  <c r="BP146" i="10"/>
  <c r="BO146" i="10"/>
  <c r="BN146" i="10"/>
  <c r="BM146" i="10"/>
  <c r="BL146" i="10"/>
  <c r="BK146" i="10"/>
  <c r="BJ146" i="10"/>
  <c r="BI146" i="10"/>
  <c r="BH146" i="10"/>
  <c r="BG146" i="10"/>
  <c r="BF146" i="10"/>
  <c r="BE146" i="10"/>
  <c r="BD146" i="10"/>
  <c r="BC146" i="10"/>
  <c r="BB146" i="10"/>
  <c r="BA146" i="10"/>
  <c r="AZ146" i="10"/>
  <c r="AY146" i="10"/>
  <c r="AX146" i="10"/>
  <c r="AW146" i="10"/>
  <c r="AV146" i="10"/>
  <c r="AU146" i="10"/>
  <c r="AT146" i="10"/>
  <c r="AS146" i="10"/>
  <c r="AR146" i="10" s="1"/>
  <c r="BP145" i="10"/>
  <c r="BO145" i="10"/>
  <c r="BN145" i="10"/>
  <c r="BM145" i="10"/>
  <c r="BL145" i="10"/>
  <c r="BK145" i="10"/>
  <c r="BJ145" i="10"/>
  <c r="BI145" i="10"/>
  <c r="BH145" i="10"/>
  <c r="BG145" i="10"/>
  <c r="BF145" i="10"/>
  <c r="BE145" i="10"/>
  <c r="BD145" i="10"/>
  <c r="BC145" i="10"/>
  <c r="BB145" i="10"/>
  <c r="BA145" i="10"/>
  <c r="AZ145" i="10"/>
  <c r="AY145" i="10"/>
  <c r="AX145" i="10"/>
  <c r="AW145" i="10"/>
  <c r="AV145" i="10"/>
  <c r="AU145" i="10"/>
  <c r="AT145" i="10"/>
  <c r="AS145" i="10"/>
  <c r="AR145" i="10" s="1"/>
  <c r="BP144" i="10"/>
  <c r="BO144" i="10"/>
  <c r="BN144" i="10"/>
  <c r="BM144" i="10"/>
  <c r="BL144" i="10"/>
  <c r="BK144" i="10"/>
  <c r="BJ144" i="10"/>
  <c r="BI144" i="10"/>
  <c r="BH144" i="10"/>
  <c r="BG144" i="10"/>
  <c r="BF144" i="10"/>
  <c r="BE144" i="10"/>
  <c r="BD144" i="10"/>
  <c r="BC144" i="10"/>
  <c r="BB144" i="10"/>
  <c r="BA144" i="10"/>
  <c r="AZ144" i="10"/>
  <c r="AY144" i="10"/>
  <c r="AX144" i="10"/>
  <c r="AW144" i="10"/>
  <c r="AV144" i="10"/>
  <c r="AU144" i="10"/>
  <c r="AT144" i="10"/>
  <c r="AS144" i="10"/>
  <c r="AR144" i="10" s="1"/>
  <c r="BP143" i="10"/>
  <c r="BO143" i="10"/>
  <c r="BN143" i="10"/>
  <c r="BM143" i="10"/>
  <c r="BL143" i="10"/>
  <c r="BK143" i="10"/>
  <c r="BJ143" i="10"/>
  <c r="BI143" i="10"/>
  <c r="BH143" i="10"/>
  <c r="BG143" i="10"/>
  <c r="BF143" i="10"/>
  <c r="BE143" i="10"/>
  <c r="BD143" i="10"/>
  <c r="BC143" i="10"/>
  <c r="BB143" i="10"/>
  <c r="BA143" i="10"/>
  <c r="AZ143" i="10"/>
  <c r="AY143" i="10"/>
  <c r="AX143" i="10"/>
  <c r="AW143" i="10"/>
  <c r="AV143" i="10"/>
  <c r="AU143" i="10"/>
  <c r="AT143" i="10"/>
  <c r="AS143" i="10"/>
  <c r="AR143" i="10" s="1"/>
  <c r="BP142" i="10"/>
  <c r="BO142" i="10"/>
  <c r="BN142" i="10"/>
  <c r="BM142" i="10"/>
  <c r="BL142" i="10"/>
  <c r="BK142" i="10"/>
  <c r="BJ142" i="10"/>
  <c r="BI142" i="10"/>
  <c r="BH142" i="10"/>
  <c r="BG142" i="10"/>
  <c r="BF142" i="10"/>
  <c r="BE142" i="10"/>
  <c r="BD142" i="10"/>
  <c r="BC142" i="10"/>
  <c r="BB142" i="10"/>
  <c r="BA142" i="10"/>
  <c r="AZ142" i="10"/>
  <c r="AY142" i="10"/>
  <c r="AX142" i="10"/>
  <c r="AW142" i="10"/>
  <c r="AV142" i="10"/>
  <c r="AU142" i="10"/>
  <c r="AT142" i="10"/>
  <c r="AS142" i="10"/>
  <c r="AR142" i="10" s="1"/>
  <c r="BP141" i="10"/>
  <c r="BO141" i="10"/>
  <c r="BN141" i="10"/>
  <c r="BM141" i="10"/>
  <c r="BL141" i="10"/>
  <c r="BK141" i="10"/>
  <c r="BJ141" i="10"/>
  <c r="BI141" i="10"/>
  <c r="BH141" i="10"/>
  <c r="BG141" i="10"/>
  <c r="BF141" i="10"/>
  <c r="BE141" i="10"/>
  <c r="BD141" i="10"/>
  <c r="BC141" i="10"/>
  <c r="BB141" i="10"/>
  <c r="BA141" i="10"/>
  <c r="AZ141" i="10"/>
  <c r="AY141" i="10"/>
  <c r="AX141" i="10"/>
  <c r="AW141" i="10"/>
  <c r="AV141" i="10"/>
  <c r="AU141" i="10"/>
  <c r="AT141" i="10"/>
  <c r="AS141" i="10"/>
  <c r="AR141" i="10" s="1"/>
  <c r="BP140" i="10"/>
  <c r="BO140" i="10"/>
  <c r="BN140" i="10"/>
  <c r="BM140" i="10"/>
  <c r="BL140" i="10"/>
  <c r="BK140" i="10"/>
  <c r="BJ140" i="10"/>
  <c r="BI140" i="10"/>
  <c r="BH140" i="10"/>
  <c r="BG140" i="10"/>
  <c r="BF140" i="10"/>
  <c r="BE140" i="10"/>
  <c r="BD140" i="10"/>
  <c r="BC140" i="10"/>
  <c r="BB140" i="10"/>
  <c r="BA140" i="10"/>
  <c r="AZ140" i="10"/>
  <c r="AY140" i="10"/>
  <c r="AX140" i="10"/>
  <c r="AW140" i="10"/>
  <c r="AV140" i="10"/>
  <c r="AU140" i="10"/>
  <c r="AT140" i="10"/>
  <c r="AS140" i="10"/>
  <c r="AR140" i="10" s="1"/>
  <c r="BP139" i="10"/>
  <c r="BO139" i="10"/>
  <c r="BN139" i="10"/>
  <c r="BM139" i="10"/>
  <c r="BL139" i="10"/>
  <c r="BK139" i="10"/>
  <c r="BJ139" i="10"/>
  <c r="BI139" i="10"/>
  <c r="BH139" i="10"/>
  <c r="BG139" i="10"/>
  <c r="BF139" i="10"/>
  <c r="BE139" i="10"/>
  <c r="BD139" i="10"/>
  <c r="BC139" i="10"/>
  <c r="BB139" i="10"/>
  <c r="BA139" i="10"/>
  <c r="AZ139" i="10"/>
  <c r="AY139" i="10"/>
  <c r="AX139" i="10"/>
  <c r="AW139" i="10"/>
  <c r="AV139" i="10"/>
  <c r="AU139" i="10"/>
  <c r="AT139" i="10"/>
  <c r="AS139" i="10"/>
  <c r="AR139" i="10" s="1"/>
  <c r="BP138" i="10"/>
  <c r="BO138" i="10"/>
  <c r="BN138" i="10"/>
  <c r="BM138" i="10"/>
  <c r="BL138" i="10"/>
  <c r="BK138" i="10"/>
  <c r="BJ138" i="10"/>
  <c r="BI138" i="10"/>
  <c r="BH138" i="10"/>
  <c r="BG138" i="10"/>
  <c r="BF138" i="10"/>
  <c r="BE138" i="10"/>
  <c r="BD138" i="10"/>
  <c r="BC138" i="10"/>
  <c r="BB138" i="10"/>
  <c r="BA138" i="10"/>
  <c r="AZ138" i="10"/>
  <c r="AY138" i="10"/>
  <c r="AX138" i="10"/>
  <c r="AW138" i="10"/>
  <c r="AV138" i="10"/>
  <c r="AU138" i="10"/>
  <c r="AT138" i="10"/>
  <c r="AS138" i="10"/>
  <c r="AR138" i="10" s="1"/>
  <c r="BP137" i="10"/>
  <c r="BO137" i="10"/>
  <c r="BN137" i="10"/>
  <c r="BM137" i="10"/>
  <c r="BL137" i="10"/>
  <c r="BK137" i="10"/>
  <c r="BJ137" i="10"/>
  <c r="BI137" i="10"/>
  <c r="BH137" i="10"/>
  <c r="BG137" i="10"/>
  <c r="BF137" i="10"/>
  <c r="BE137" i="10"/>
  <c r="BD137" i="10"/>
  <c r="BC137" i="10"/>
  <c r="BB137" i="10"/>
  <c r="BA137" i="10"/>
  <c r="AZ137" i="10"/>
  <c r="AY137" i="10"/>
  <c r="AX137" i="10"/>
  <c r="AW137" i="10"/>
  <c r="AV137" i="10"/>
  <c r="AU137" i="10"/>
  <c r="AT137" i="10"/>
  <c r="AS137" i="10"/>
  <c r="AR137" i="10" s="1"/>
  <c r="BP136" i="10"/>
  <c r="BO136" i="10"/>
  <c r="BN136" i="10"/>
  <c r="BM136" i="10"/>
  <c r="BL136" i="10"/>
  <c r="BK136" i="10"/>
  <c r="BJ136" i="10"/>
  <c r="BI136" i="10"/>
  <c r="BH136" i="10"/>
  <c r="BG136" i="10"/>
  <c r="BF136" i="10"/>
  <c r="BE136" i="10"/>
  <c r="BD136" i="10"/>
  <c r="BC136" i="10"/>
  <c r="BB136" i="10"/>
  <c r="BA136" i="10"/>
  <c r="AZ136" i="10"/>
  <c r="AY136" i="10"/>
  <c r="AX136" i="10"/>
  <c r="AW136" i="10"/>
  <c r="AV136" i="10"/>
  <c r="AU136" i="10"/>
  <c r="AT136" i="10"/>
  <c r="AS136" i="10"/>
  <c r="AR136" i="10" s="1"/>
  <c r="BP135" i="10"/>
  <c r="BO135" i="10"/>
  <c r="BN135" i="10"/>
  <c r="BM135" i="10"/>
  <c r="BL135" i="10"/>
  <c r="BK135" i="10"/>
  <c r="BJ135" i="10"/>
  <c r="BI135" i="10"/>
  <c r="BH135" i="10"/>
  <c r="BG135" i="10"/>
  <c r="BF135" i="10"/>
  <c r="BE135" i="10"/>
  <c r="BD135" i="10"/>
  <c r="BC135" i="10"/>
  <c r="BB135" i="10"/>
  <c r="BA135" i="10"/>
  <c r="AZ135" i="10"/>
  <c r="AY135" i="10"/>
  <c r="AX135" i="10"/>
  <c r="AW135" i="10"/>
  <c r="AV135" i="10"/>
  <c r="AU135" i="10"/>
  <c r="AT135" i="10"/>
  <c r="AS135" i="10"/>
  <c r="AR135" i="10" s="1"/>
  <c r="BP134" i="10"/>
  <c r="BO134" i="10"/>
  <c r="BN134" i="10"/>
  <c r="BM134" i="10"/>
  <c r="BL134" i="10"/>
  <c r="BK134" i="10"/>
  <c r="BJ134" i="10"/>
  <c r="BI134" i="10"/>
  <c r="BH134" i="10"/>
  <c r="BG134" i="10"/>
  <c r="BF134" i="10"/>
  <c r="BE134" i="10"/>
  <c r="BD134" i="10"/>
  <c r="BC134" i="10"/>
  <c r="BB134" i="10"/>
  <c r="BA134" i="10"/>
  <c r="AZ134" i="10"/>
  <c r="AY134" i="10"/>
  <c r="AX134" i="10"/>
  <c r="AW134" i="10"/>
  <c r="AV134" i="10"/>
  <c r="AU134" i="10"/>
  <c r="AT134" i="10"/>
  <c r="AS134" i="10"/>
  <c r="AR134" i="10" s="1"/>
  <c r="BP133" i="10"/>
  <c r="BO133" i="10"/>
  <c r="BN133" i="10"/>
  <c r="BM133" i="10"/>
  <c r="BL133" i="10"/>
  <c r="BK133" i="10"/>
  <c r="BJ133" i="10"/>
  <c r="BI133" i="10"/>
  <c r="BH133" i="10"/>
  <c r="BG133" i="10"/>
  <c r="BF133" i="10"/>
  <c r="BE133" i="10"/>
  <c r="BD133" i="10"/>
  <c r="BC133" i="10"/>
  <c r="BB133" i="10"/>
  <c r="BA133" i="10"/>
  <c r="AZ133" i="10"/>
  <c r="AY133" i="10"/>
  <c r="AX133" i="10"/>
  <c r="AW133" i="10"/>
  <c r="AV133" i="10"/>
  <c r="AU133" i="10"/>
  <c r="AT133" i="10"/>
  <c r="AS133" i="10"/>
  <c r="AR133" i="10" s="1"/>
  <c r="BP132" i="10"/>
  <c r="BO132" i="10"/>
  <c r="BN132" i="10"/>
  <c r="BM132" i="10"/>
  <c r="BL132" i="10"/>
  <c r="BK132" i="10"/>
  <c r="BJ132" i="10"/>
  <c r="BI132" i="10"/>
  <c r="BH132" i="10"/>
  <c r="BG132" i="10"/>
  <c r="BF132" i="10"/>
  <c r="BE132" i="10"/>
  <c r="BD132" i="10"/>
  <c r="BC132" i="10"/>
  <c r="BB132" i="10"/>
  <c r="BA132" i="10"/>
  <c r="AZ132" i="10"/>
  <c r="AY132" i="10"/>
  <c r="AX132" i="10"/>
  <c r="AW132" i="10"/>
  <c r="AV132" i="10"/>
  <c r="AU132" i="10"/>
  <c r="AT132" i="10"/>
  <c r="AS132" i="10"/>
  <c r="AR132" i="10" s="1"/>
  <c r="BP131" i="10"/>
  <c r="BO131" i="10"/>
  <c r="BN131" i="10"/>
  <c r="BM131" i="10"/>
  <c r="BL131" i="10"/>
  <c r="BK131" i="10"/>
  <c r="BJ131" i="10"/>
  <c r="BI131" i="10"/>
  <c r="BH131" i="10"/>
  <c r="BG131" i="10"/>
  <c r="BF131" i="10"/>
  <c r="BE131" i="10"/>
  <c r="BD131" i="10"/>
  <c r="BC131" i="10"/>
  <c r="BB131" i="10"/>
  <c r="BA131" i="10"/>
  <c r="AZ131" i="10"/>
  <c r="AY131" i="10"/>
  <c r="AX131" i="10"/>
  <c r="AW131" i="10"/>
  <c r="AV131" i="10"/>
  <c r="AU131" i="10"/>
  <c r="AT131" i="10"/>
  <c r="AS131" i="10"/>
  <c r="AR131" i="10" s="1"/>
  <c r="BP130" i="10"/>
  <c r="BO130" i="10"/>
  <c r="BN130" i="10"/>
  <c r="BM130" i="10"/>
  <c r="BL130" i="10"/>
  <c r="BK130" i="10"/>
  <c r="BJ130" i="10"/>
  <c r="BI130" i="10"/>
  <c r="BH130" i="10"/>
  <c r="BG130" i="10"/>
  <c r="BF130" i="10"/>
  <c r="BE130" i="10"/>
  <c r="BD130" i="10"/>
  <c r="BC130" i="10"/>
  <c r="BB130" i="10"/>
  <c r="BA130" i="10"/>
  <c r="AZ130" i="10"/>
  <c r="AY130" i="10"/>
  <c r="AX130" i="10"/>
  <c r="AW130" i="10"/>
  <c r="AV130" i="10"/>
  <c r="AU130" i="10"/>
  <c r="AT130" i="10"/>
  <c r="AS130" i="10"/>
  <c r="AR130" i="10" s="1"/>
  <c r="BP129" i="10"/>
  <c r="BO129" i="10"/>
  <c r="BN129" i="10"/>
  <c r="BM129" i="10"/>
  <c r="BL129" i="10"/>
  <c r="BK129" i="10"/>
  <c r="BJ129" i="10"/>
  <c r="BI129" i="10"/>
  <c r="BH129" i="10"/>
  <c r="BG129" i="10"/>
  <c r="BF129" i="10"/>
  <c r="BE129" i="10"/>
  <c r="BD129" i="10"/>
  <c r="BC129" i="10"/>
  <c r="BB129" i="10"/>
  <c r="BA129" i="10"/>
  <c r="AZ129" i="10"/>
  <c r="AY129" i="10"/>
  <c r="AX129" i="10"/>
  <c r="AW129" i="10"/>
  <c r="AV129" i="10"/>
  <c r="AU129" i="10"/>
  <c r="AT129" i="10"/>
  <c r="AS129" i="10"/>
  <c r="AR129" i="10" s="1"/>
  <c r="BP128" i="10"/>
  <c r="BO128" i="10"/>
  <c r="BN128" i="10"/>
  <c r="BM128" i="10"/>
  <c r="BL128" i="10"/>
  <c r="BK128" i="10"/>
  <c r="BJ128" i="10"/>
  <c r="BI128" i="10"/>
  <c r="BH128" i="10"/>
  <c r="BG128" i="10"/>
  <c r="BF128" i="10"/>
  <c r="BE128" i="10"/>
  <c r="BD128" i="10"/>
  <c r="BC128" i="10"/>
  <c r="BB128" i="10"/>
  <c r="BA128" i="10"/>
  <c r="AZ128" i="10"/>
  <c r="AY128" i="10"/>
  <c r="AX128" i="10"/>
  <c r="AW128" i="10"/>
  <c r="AV128" i="10"/>
  <c r="AU128" i="10"/>
  <c r="AT128" i="10"/>
  <c r="AS128" i="10"/>
  <c r="AR128" i="10" s="1"/>
  <c r="BP127" i="10"/>
  <c r="BO127" i="10"/>
  <c r="BN127" i="10"/>
  <c r="BM127" i="10"/>
  <c r="BL127" i="10"/>
  <c r="BK127" i="10"/>
  <c r="BJ127" i="10"/>
  <c r="BI127" i="10"/>
  <c r="BH127" i="10"/>
  <c r="BG127" i="10"/>
  <c r="BF127" i="10"/>
  <c r="BE127" i="10"/>
  <c r="BD127" i="10"/>
  <c r="BC127" i="10"/>
  <c r="BB127" i="10"/>
  <c r="BA127" i="10"/>
  <c r="AZ127" i="10"/>
  <c r="AY127" i="10"/>
  <c r="AX127" i="10"/>
  <c r="AW127" i="10"/>
  <c r="AV127" i="10"/>
  <c r="AU127" i="10"/>
  <c r="AT127" i="10"/>
  <c r="AS127" i="10"/>
  <c r="AR127" i="10" s="1"/>
  <c r="BP126" i="10"/>
  <c r="BO126" i="10"/>
  <c r="BN126" i="10"/>
  <c r="BM126" i="10"/>
  <c r="BL126" i="10"/>
  <c r="BK126" i="10"/>
  <c r="BJ126" i="10"/>
  <c r="BI126" i="10"/>
  <c r="BH126" i="10"/>
  <c r="BG126" i="10"/>
  <c r="BF126" i="10"/>
  <c r="BE126" i="10"/>
  <c r="BD126" i="10"/>
  <c r="BC126" i="10"/>
  <c r="BB126" i="10"/>
  <c r="BA126" i="10"/>
  <c r="AZ126" i="10"/>
  <c r="AY126" i="10"/>
  <c r="AX126" i="10"/>
  <c r="AW126" i="10"/>
  <c r="AV126" i="10"/>
  <c r="AU126" i="10"/>
  <c r="AT126" i="10"/>
  <c r="AS126" i="10"/>
  <c r="AR126" i="10" s="1"/>
  <c r="BP125" i="10"/>
  <c r="BO125" i="10"/>
  <c r="BN125" i="10"/>
  <c r="BM125" i="10"/>
  <c r="BL125" i="10"/>
  <c r="BK125" i="10"/>
  <c r="BJ125" i="10"/>
  <c r="BI125" i="10"/>
  <c r="BH125" i="10"/>
  <c r="BG125" i="10"/>
  <c r="BF125" i="10"/>
  <c r="BE125" i="10"/>
  <c r="BD125" i="10"/>
  <c r="BC125" i="10"/>
  <c r="BB125" i="10"/>
  <c r="BA125" i="10"/>
  <c r="AZ125" i="10"/>
  <c r="AY125" i="10"/>
  <c r="AX125" i="10"/>
  <c r="AW125" i="10"/>
  <c r="AV125" i="10"/>
  <c r="AU125" i="10"/>
  <c r="AT125" i="10"/>
  <c r="AS125" i="10"/>
  <c r="AR125" i="10" s="1"/>
  <c r="BP124" i="10"/>
  <c r="BO124" i="10"/>
  <c r="BN124" i="10"/>
  <c r="BM124" i="10"/>
  <c r="BL124" i="10"/>
  <c r="BK124" i="10"/>
  <c r="BJ124" i="10"/>
  <c r="BI124" i="10"/>
  <c r="BH124" i="10"/>
  <c r="BG124" i="10"/>
  <c r="BF124" i="10"/>
  <c r="BE124" i="10"/>
  <c r="BD124" i="10"/>
  <c r="BC124" i="10"/>
  <c r="BB124" i="10"/>
  <c r="BA124" i="10"/>
  <c r="AZ124" i="10"/>
  <c r="AY124" i="10"/>
  <c r="AX124" i="10"/>
  <c r="AW124" i="10"/>
  <c r="AV124" i="10"/>
  <c r="AU124" i="10"/>
  <c r="AT124" i="10"/>
  <c r="AS124" i="10"/>
  <c r="AR124" i="10" s="1"/>
  <c r="BP123" i="10"/>
  <c r="BO123" i="10"/>
  <c r="BN123" i="10"/>
  <c r="BM123" i="10"/>
  <c r="BL123" i="10"/>
  <c r="BK123" i="10"/>
  <c r="BJ123" i="10"/>
  <c r="BI123" i="10"/>
  <c r="BH123" i="10"/>
  <c r="BG123" i="10"/>
  <c r="BF123" i="10"/>
  <c r="BE123" i="10"/>
  <c r="BD123" i="10"/>
  <c r="BC123" i="10"/>
  <c r="BB123" i="10"/>
  <c r="BA123" i="10"/>
  <c r="AZ123" i="10"/>
  <c r="AY123" i="10"/>
  <c r="AX123" i="10"/>
  <c r="AW123" i="10"/>
  <c r="AV123" i="10"/>
  <c r="AU123" i="10"/>
  <c r="AT123" i="10"/>
  <c r="AS123" i="10"/>
  <c r="AR123" i="10" s="1"/>
  <c r="BP122" i="10"/>
  <c r="BO122" i="10"/>
  <c r="BN122" i="10"/>
  <c r="BM122" i="10"/>
  <c r="BL122" i="10"/>
  <c r="BK122" i="10"/>
  <c r="BJ122" i="10"/>
  <c r="BI122" i="10"/>
  <c r="BH122" i="10"/>
  <c r="BG122" i="10"/>
  <c r="BF122" i="10"/>
  <c r="BE122" i="10"/>
  <c r="BD122" i="10"/>
  <c r="BC122" i="10"/>
  <c r="BB122" i="10"/>
  <c r="BA122" i="10"/>
  <c r="AZ122" i="10"/>
  <c r="AY122" i="10"/>
  <c r="AX122" i="10"/>
  <c r="AW122" i="10"/>
  <c r="AV122" i="10"/>
  <c r="AU122" i="10"/>
  <c r="AT122" i="10"/>
  <c r="AS122" i="10"/>
  <c r="AR122" i="10" s="1"/>
  <c r="BP121" i="10"/>
  <c r="BO121" i="10"/>
  <c r="BN121" i="10"/>
  <c r="BM121" i="10"/>
  <c r="BL121" i="10"/>
  <c r="BK121" i="10"/>
  <c r="BJ121" i="10"/>
  <c r="BI121" i="10"/>
  <c r="BH121" i="10"/>
  <c r="BG121" i="10"/>
  <c r="BF121" i="10"/>
  <c r="BE121" i="10"/>
  <c r="BD121" i="10"/>
  <c r="BC121" i="10"/>
  <c r="BB121" i="10"/>
  <c r="BA121" i="10"/>
  <c r="AZ121" i="10"/>
  <c r="AY121" i="10"/>
  <c r="AX121" i="10"/>
  <c r="AW121" i="10"/>
  <c r="AV121" i="10"/>
  <c r="AU121" i="10"/>
  <c r="AT121" i="10"/>
  <c r="AS121" i="10"/>
  <c r="AR121" i="10" s="1"/>
  <c r="BP120" i="10"/>
  <c r="BO120" i="10"/>
  <c r="BN120" i="10"/>
  <c r="BM120" i="10"/>
  <c r="BL120" i="10"/>
  <c r="BK120" i="10"/>
  <c r="BJ120" i="10"/>
  <c r="BI120" i="10"/>
  <c r="BH120" i="10"/>
  <c r="BG120" i="10"/>
  <c r="BF120" i="10"/>
  <c r="BE120" i="10"/>
  <c r="BD120" i="10"/>
  <c r="BC120" i="10"/>
  <c r="BB120" i="10"/>
  <c r="BA120" i="10"/>
  <c r="AZ120" i="10"/>
  <c r="AY120" i="10"/>
  <c r="AX120" i="10"/>
  <c r="AW120" i="10"/>
  <c r="AV120" i="10"/>
  <c r="AU120" i="10"/>
  <c r="AT120" i="10"/>
  <c r="AS120" i="10"/>
  <c r="AR120" i="10" s="1"/>
  <c r="BP119" i="10"/>
  <c r="BO119" i="10"/>
  <c r="BN119" i="10"/>
  <c r="BM119" i="10"/>
  <c r="BL119" i="10"/>
  <c r="BK119" i="10"/>
  <c r="BJ119" i="10"/>
  <c r="BI119" i="10"/>
  <c r="BH119" i="10"/>
  <c r="BG119" i="10"/>
  <c r="BF119" i="10"/>
  <c r="BE119" i="10"/>
  <c r="BD119" i="10"/>
  <c r="BC119" i="10"/>
  <c r="BB119" i="10"/>
  <c r="BA119" i="10"/>
  <c r="AZ119" i="10"/>
  <c r="AY119" i="10"/>
  <c r="AX119" i="10"/>
  <c r="AW119" i="10"/>
  <c r="AV119" i="10"/>
  <c r="AU119" i="10"/>
  <c r="AT119" i="10"/>
  <c r="AS119" i="10"/>
  <c r="AR119" i="10" s="1"/>
  <c r="BP118" i="10"/>
  <c r="BO118" i="10"/>
  <c r="BN118" i="10"/>
  <c r="BM118" i="10"/>
  <c r="BL118" i="10"/>
  <c r="BK118" i="10"/>
  <c r="BJ118" i="10"/>
  <c r="BI118" i="10"/>
  <c r="BH118" i="10"/>
  <c r="BG118" i="10"/>
  <c r="BF118" i="10"/>
  <c r="BE118" i="10"/>
  <c r="BD118" i="10"/>
  <c r="BC118" i="10"/>
  <c r="BB118" i="10"/>
  <c r="BA118" i="10"/>
  <c r="AZ118" i="10"/>
  <c r="AY118" i="10"/>
  <c r="AX118" i="10"/>
  <c r="AW118" i="10"/>
  <c r="AV118" i="10"/>
  <c r="AU118" i="10"/>
  <c r="AT118" i="10"/>
  <c r="AS118" i="10"/>
  <c r="AR118" i="10" s="1"/>
  <c r="BP117" i="10"/>
  <c r="BO117" i="10"/>
  <c r="BN117" i="10"/>
  <c r="BM117" i="10"/>
  <c r="BL117" i="10"/>
  <c r="BK117" i="10"/>
  <c r="BJ117" i="10"/>
  <c r="BI117" i="10"/>
  <c r="BH117" i="10"/>
  <c r="BG117" i="10"/>
  <c r="BF117" i="10"/>
  <c r="BE117" i="10"/>
  <c r="BD117" i="10"/>
  <c r="BC117" i="10"/>
  <c r="BB117" i="10"/>
  <c r="BA117" i="10"/>
  <c r="AZ117" i="10"/>
  <c r="AY117" i="10"/>
  <c r="AX117" i="10"/>
  <c r="AW117" i="10"/>
  <c r="AV117" i="10"/>
  <c r="AU117" i="10"/>
  <c r="AT117" i="10"/>
  <c r="AS117" i="10"/>
  <c r="AR117" i="10" s="1"/>
  <c r="BP116" i="10"/>
  <c r="BO116" i="10"/>
  <c r="BN116" i="10"/>
  <c r="BM116" i="10"/>
  <c r="BL116" i="10"/>
  <c r="BK116" i="10"/>
  <c r="BJ116" i="10"/>
  <c r="BI116" i="10"/>
  <c r="BH116" i="10"/>
  <c r="BG116" i="10"/>
  <c r="BF116" i="10"/>
  <c r="BE116" i="10"/>
  <c r="BD116" i="10"/>
  <c r="BC116" i="10"/>
  <c r="BB116" i="10"/>
  <c r="BA116" i="10"/>
  <c r="AZ116" i="10"/>
  <c r="AY116" i="10"/>
  <c r="AX116" i="10"/>
  <c r="AW116" i="10"/>
  <c r="AV116" i="10"/>
  <c r="AU116" i="10"/>
  <c r="AT116" i="10"/>
  <c r="AS116" i="10"/>
  <c r="AR116" i="10" s="1"/>
  <c r="BP115" i="10"/>
  <c r="BO115" i="10"/>
  <c r="BN115" i="10"/>
  <c r="BM115" i="10"/>
  <c r="BL115" i="10"/>
  <c r="BK115" i="10"/>
  <c r="BJ115" i="10"/>
  <c r="BI115" i="10"/>
  <c r="BH115" i="10"/>
  <c r="BG115" i="10"/>
  <c r="BF115" i="10"/>
  <c r="BE115" i="10"/>
  <c r="BD115" i="10"/>
  <c r="BC115" i="10"/>
  <c r="BB115" i="10"/>
  <c r="BA115" i="10"/>
  <c r="AZ115" i="10"/>
  <c r="AY115" i="10"/>
  <c r="AX115" i="10"/>
  <c r="AW115" i="10"/>
  <c r="AV115" i="10"/>
  <c r="AU115" i="10"/>
  <c r="AT115" i="10"/>
  <c r="AS115" i="10"/>
  <c r="AR115" i="10" s="1"/>
  <c r="BP114" i="10"/>
  <c r="BO114" i="10"/>
  <c r="BN114" i="10"/>
  <c r="BM114" i="10"/>
  <c r="BL114" i="10"/>
  <c r="BK114" i="10"/>
  <c r="BJ114" i="10"/>
  <c r="BI114" i="10"/>
  <c r="BH114" i="10"/>
  <c r="BG114" i="10"/>
  <c r="BF114" i="10"/>
  <c r="BE114" i="10"/>
  <c r="BD114" i="10"/>
  <c r="BC114" i="10"/>
  <c r="BB114" i="10"/>
  <c r="BA114" i="10"/>
  <c r="AZ114" i="10"/>
  <c r="AY114" i="10"/>
  <c r="AX114" i="10"/>
  <c r="AW114" i="10"/>
  <c r="AV114" i="10"/>
  <c r="AU114" i="10"/>
  <c r="AT114" i="10"/>
  <c r="AS114" i="10"/>
  <c r="AR114" i="10" s="1"/>
  <c r="BP113" i="10"/>
  <c r="BO113" i="10"/>
  <c r="BN113" i="10"/>
  <c r="BM113" i="10"/>
  <c r="BL113" i="10"/>
  <c r="BK113" i="10"/>
  <c r="BJ113" i="10"/>
  <c r="BI113" i="10"/>
  <c r="BH113" i="10"/>
  <c r="BG113" i="10"/>
  <c r="BF113" i="10"/>
  <c r="BE113" i="10"/>
  <c r="BD113" i="10"/>
  <c r="BC113" i="10"/>
  <c r="BB113" i="10"/>
  <c r="BA113" i="10"/>
  <c r="AZ113" i="10"/>
  <c r="AY113" i="10"/>
  <c r="AX113" i="10"/>
  <c r="AW113" i="10"/>
  <c r="AV113" i="10"/>
  <c r="AU113" i="10"/>
  <c r="AT113" i="10"/>
  <c r="AS113" i="10"/>
  <c r="AR113" i="10" s="1"/>
  <c r="BP112" i="10"/>
  <c r="BO112" i="10"/>
  <c r="BN112" i="10"/>
  <c r="BM112" i="10"/>
  <c r="BL112" i="10"/>
  <c r="BK112" i="10"/>
  <c r="BJ112" i="10"/>
  <c r="BI112" i="10"/>
  <c r="BH112" i="10"/>
  <c r="BG112" i="10"/>
  <c r="BF112" i="10"/>
  <c r="BE112" i="10"/>
  <c r="BD112" i="10"/>
  <c r="BC112" i="10"/>
  <c r="BB112" i="10"/>
  <c r="BA112" i="10"/>
  <c r="AZ112" i="10"/>
  <c r="AY112" i="10"/>
  <c r="AX112" i="10"/>
  <c r="AW112" i="10"/>
  <c r="AV112" i="10"/>
  <c r="AU112" i="10"/>
  <c r="AT112" i="10"/>
  <c r="AS112" i="10"/>
  <c r="AR112" i="10" s="1"/>
  <c r="BP111" i="10"/>
  <c r="BO111" i="10"/>
  <c r="BN111" i="10"/>
  <c r="BM111" i="10"/>
  <c r="BL111" i="10"/>
  <c r="BK111" i="10"/>
  <c r="BJ111" i="10"/>
  <c r="BI111" i="10"/>
  <c r="BH111" i="10"/>
  <c r="BG111" i="10"/>
  <c r="BF111" i="10"/>
  <c r="BE111" i="10"/>
  <c r="BD111" i="10"/>
  <c r="BC111" i="10"/>
  <c r="BB111" i="10"/>
  <c r="BA111" i="10"/>
  <c r="AZ111" i="10"/>
  <c r="AY111" i="10"/>
  <c r="AX111" i="10"/>
  <c r="AW111" i="10"/>
  <c r="AV111" i="10"/>
  <c r="AU111" i="10"/>
  <c r="AT111" i="10"/>
  <c r="AS111" i="10"/>
  <c r="AR111" i="10" s="1"/>
  <c r="BP110" i="10"/>
  <c r="BO110" i="10"/>
  <c r="BN110" i="10"/>
  <c r="BM110" i="10"/>
  <c r="BL110" i="10"/>
  <c r="BK110" i="10"/>
  <c r="BJ110" i="10"/>
  <c r="BI110" i="10"/>
  <c r="BH110" i="10"/>
  <c r="BG110" i="10"/>
  <c r="BF110" i="10"/>
  <c r="BE110" i="10"/>
  <c r="BD110" i="10"/>
  <c r="BC110" i="10"/>
  <c r="BB110" i="10"/>
  <c r="BA110" i="10"/>
  <c r="AZ110" i="10"/>
  <c r="AY110" i="10"/>
  <c r="AX110" i="10"/>
  <c r="AW110" i="10"/>
  <c r="AV110" i="10"/>
  <c r="AU110" i="10"/>
  <c r="AT110" i="10"/>
  <c r="AS110" i="10"/>
  <c r="AR110" i="10" s="1"/>
  <c r="BP109" i="10"/>
  <c r="BO109" i="10"/>
  <c r="BN109" i="10"/>
  <c r="BM109" i="10"/>
  <c r="BL109" i="10"/>
  <c r="BK109" i="10"/>
  <c r="BJ109" i="10"/>
  <c r="BI109" i="10"/>
  <c r="BH109" i="10"/>
  <c r="BG109" i="10"/>
  <c r="BF109" i="10"/>
  <c r="BE109" i="10"/>
  <c r="BD109" i="10"/>
  <c r="BC109" i="10"/>
  <c r="BB109" i="10"/>
  <c r="BA109" i="10"/>
  <c r="AZ109" i="10"/>
  <c r="AY109" i="10"/>
  <c r="AX109" i="10"/>
  <c r="AW109" i="10"/>
  <c r="AV109" i="10"/>
  <c r="AU109" i="10"/>
  <c r="AT109" i="10"/>
  <c r="AS109" i="10"/>
  <c r="AR109" i="10" s="1"/>
  <c r="BP108" i="10"/>
  <c r="BO108" i="10"/>
  <c r="BN108" i="10"/>
  <c r="BM108" i="10"/>
  <c r="BL108" i="10"/>
  <c r="BK108" i="10"/>
  <c r="BJ108" i="10"/>
  <c r="BI108" i="10"/>
  <c r="BH108" i="10"/>
  <c r="BG108" i="10"/>
  <c r="BF108" i="10"/>
  <c r="BE108" i="10"/>
  <c r="BD108" i="10"/>
  <c r="BC108" i="10"/>
  <c r="BB108" i="10"/>
  <c r="BA108" i="10"/>
  <c r="AZ108" i="10"/>
  <c r="AY108" i="10"/>
  <c r="AX108" i="10"/>
  <c r="AW108" i="10"/>
  <c r="AV108" i="10"/>
  <c r="AU108" i="10"/>
  <c r="AT108" i="10"/>
  <c r="AS108" i="10"/>
  <c r="AR108" i="10" s="1"/>
  <c r="BP107" i="10"/>
  <c r="BO107" i="10"/>
  <c r="BN107" i="10"/>
  <c r="BM107" i="10"/>
  <c r="BL107" i="10"/>
  <c r="BK107" i="10"/>
  <c r="BJ107" i="10"/>
  <c r="BI107" i="10"/>
  <c r="BH107" i="10"/>
  <c r="BG107" i="10"/>
  <c r="BF107" i="10"/>
  <c r="BE107" i="10"/>
  <c r="BD107" i="10"/>
  <c r="BC107" i="10"/>
  <c r="BB107" i="10"/>
  <c r="BA107" i="10"/>
  <c r="AZ107" i="10"/>
  <c r="AY107" i="10"/>
  <c r="AX107" i="10"/>
  <c r="AW107" i="10"/>
  <c r="AV107" i="10"/>
  <c r="AU107" i="10"/>
  <c r="AT107" i="10"/>
  <c r="AS107" i="10"/>
  <c r="AR107" i="10" s="1"/>
  <c r="BP106" i="10"/>
  <c r="BO106" i="10"/>
  <c r="BN106" i="10"/>
  <c r="BM106" i="10"/>
  <c r="BL106" i="10"/>
  <c r="BK106" i="10"/>
  <c r="BJ106" i="10"/>
  <c r="BI106" i="10"/>
  <c r="BH106" i="10"/>
  <c r="BG106" i="10"/>
  <c r="BF106" i="10"/>
  <c r="BE106" i="10"/>
  <c r="BD106" i="10"/>
  <c r="BC106" i="10"/>
  <c r="BB106" i="10"/>
  <c r="BA106" i="10"/>
  <c r="AZ106" i="10"/>
  <c r="AY106" i="10"/>
  <c r="AX106" i="10"/>
  <c r="AW106" i="10"/>
  <c r="AV106" i="10"/>
  <c r="AU106" i="10"/>
  <c r="AT106" i="10"/>
  <c r="AS106" i="10"/>
  <c r="AR106" i="10" s="1"/>
  <c r="BP105" i="10"/>
  <c r="BO105" i="10"/>
  <c r="BN105" i="10"/>
  <c r="BM105" i="10"/>
  <c r="BL105" i="10"/>
  <c r="BK105" i="10"/>
  <c r="BJ105" i="10"/>
  <c r="BI105" i="10"/>
  <c r="BH105" i="10"/>
  <c r="BG105" i="10"/>
  <c r="BF105" i="10"/>
  <c r="BE105" i="10"/>
  <c r="BD105" i="10"/>
  <c r="BC105" i="10"/>
  <c r="BB105" i="10"/>
  <c r="BA105" i="10"/>
  <c r="AZ105" i="10"/>
  <c r="AY105" i="10"/>
  <c r="AX105" i="10"/>
  <c r="AW105" i="10"/>
  <c r="AV105" i="10"/>
  <c r="AU105" i="10"/>
  <c r="AT105" i="10"/>
  <c r="AS105" i="10"/>
  <c r="AR105" i="10" s="1"/>
  <c r="BP104" i="10"/>
  <c r="BO104" i="10"/>
  <c r="BN104" i="10"/>
  <c r="BM104" i="10"/>
  <c r="BL104" i="10"/>
  <c r="BK104" i="10"/>
  <c r="BJ104" i="10"/>
  <c r="BI104" i="10"/>
  <c r="BH104" i="10"/>
  <c r="BG104" i="10"/>
  <c r="BF104" i="10"/>
  <c r="BE104" i="10"/>
  <c r="BD104" i="10"/>
  <c r="BC104" i="10"/>
  <c r="BB104" i="10"/>
  <c r="BA104" i="10"/>
  <c r="AZ104" i="10"/>
  <c r="AY104" i="10"/>
  <c r="AX104" i="10"/>
  <c r="AW104" i="10"/>
  <c r="AV104" i="10"/>
  <c r="AU104" i="10"/>
  <c r="AT104" i="10"/>
  <c r="AS104" i="10"/>
  <c r="AR104" i="10" s="1"/>
  <c r="BP103" i="10"/>
  <c r="BO103" i="10"/>
  <c r="BN103" i="10"/>
  <c r="BM103" i="10"/>
  <c r="BL103" i="10"/>
  <c r="BK103" i="10"/>
  <c r="BJ103" i="10"/>
  <c r="BI103" i="10"/>
  <c r="BH103" i="10"/>
  <c r="BG103" i="10"/>
  <c r="BF103" i="10"/>
  <c r="BE103" i="10"/>
  <c r="BD103" i="10"/>
  <c r="BC103" i="10"/>
  <c r="BB103" i="10"/>
  <c r="BA103" i="10"/>
  <c r="AZ103" i="10"/>
  <c r="AY103" i="10"/>
  <c r="AX103" i="10"/>
  <c r="AW103" i="10"/>
  <c r="AV103" i="10"/>
  <c r="AU103" i="10"/>
  <c r="AT103" i="10"/>
  <c r="AS103" i="10"/>
  <c r="AR103" i="10" s="1"/>
  <c r="BP102" i="10"/>
  <c r="BO102" i="10"/>
  <c r="BN102" i="10"/>
  <c r="BM102" i="10"/>
  <c r="BL102" i="10"/>
  <c r="BK102" i="10"/>
  <c r="BJ102" i="10"/>
  <c r="BI102" i="10"/>
  <c r="BH102" i="10"/>
  <c r="BG102" i="10"/>
  <c r="BF102" i="10"/>
  <c r="BE102" i="10"/>
  <c r="BD102" i="10"/>
  <c r="BC102" i="10"/>
  <c r="BB102" i="10"/>
  <c r="BA102" i="10"/>
  <c r="AZ102" i="10"/>
  <c r="AY102" i="10"/>
  <c r="AX102" i="10"/>
  <c r="AW102" i="10"/>
  <c r="AV102" i="10"/>
  <c r="AU102" i="10"/>
  <c r="AT102" i="10"/>
  <c r="AS102" i="10"/>
  <c r="AR102" i="10" s="1"/>
  <c r="BP101" i="10"/>
  <c r="BO101" i="10"/>
  <c r="BN101" i="10"/>
  <c r="BM101" i="10"/>
  <c r="BL101" i="10"/>
  <c r="BK101" i="10"/>
  <c r="BJ101" i="10"/>
  <c r="BI101" i="10"/>
  <c r="BH101" i="10"/>
  <c r="BG101" i="10"/>
  <c r="BF101" i="10"/>
  <c r="BE101" i="10"/>
  <c r="BD101" i="10"/>
  <c r="BC101" i="10"/>
  <c r="BB101" i="10"/>
  <c r="BA101" i="10"/>
  <c r="AZ101" i="10"/>
  <c r="AY101" i="10"/>
  <c r="AX101" i="10"/>
  <c r="AW101" i="10"/>
  <c r="AV101" i="10"/>
  <c r="AU101" i="10"/>
  <c r="AT101" i="10"/>
  <c r="AS101" i="10"/>
  <c r="AR101" i="10" s="1"/>
  <c r="BP100" i="10"/>
  <c r="BO100" i="10"/>
  <c r="BN100" i="10"/>
  <c r="BM100" i="10"/>
  <c r="BL100" i="10"/>
  <c r="BK100" i="10"/>
  <c r="BJ100" i="10"/>
  <c r="BI100" i="10"/>
  <c r="BH100" i="10"/>
  <c r="BG100" i="10"/>
  <c r="BF100" i="10"/>
  <c r="BE100" i="10"/>
  <c r="BD100" i="10"/>
  <c r="BC100" i="10"/>
  <c r="BB100" i="10"/>
  <c r="BA100" i="10"/>
  <c r="AZ100" i="10"/>
  <c r="AY100" i="10"/>
  <c r="AX100" i="10"/>
  <c r="AW100" i="10"/>
  <c r="AV100" i="10"/>
  <c r="AU100" i="10"/>
  <c r="AT100" i="10"/>
  <c r="AS100" i="10"/>
  <c r="AR100" i="10" s="1"/>
  <c r="BP99" i="10"/>
  <c r="BO99" i="10"/>
  <c r="BN99" i="10"/>
  <c r="BM99" i="10"/>
  <c r="BL99" i="10"/>
  <c r="BK99" i="10"/>
  <c r="BJ99" i="10"/>
  <c r="BI99" i="10"/>
  <c r="BH99" i="10"/>
  <c r="BG99" i="10"/>
  <c r="BF99" i="10"/>
  <c r="BE99" i="10"/>
  <c r="BD99" i="10"/>
  <c r="BC99" i="10"/>
  <c r="BB99" i="10"/>
  <c r="BA99" i="10"/>
  <c r="AZ99" i="10"/>
  <c r="AY99" i="10"/>
  <c r="AX99" i="10"/>
  <c r="AW99" i="10"/>
  <c r="AV99" i="10"/>
  <c r="AU99" i="10"/>
  <c r="AT99" i="10"/>
  <c r="AS99" i="10"/>
  <c r="AR99" i="10" s="1"/>
  <c r="BP98" i="10"/>
  <c r="BO98" i="10"/>
  <c r="BN98" i="10"/>
  <c r="BM98" i="10"/>
  <c r="BL98" i="10"/>
  <c r="BK98" i="10"/>
  <c r="BJ98" i="10"/>
  <c r="BI98" i="10"/>
  <c r="BH98" i="10"/>
  <c r="BG98" i="10"/>
  <c r="BF98" i="10"/>
  <c r="BE98" i="10"/>
  <c r="BD98" i="10"/>
  <c r="BC98" i="10"/>
  <c r="BB98" i="10"/>
  <c r="BA98" i="10"/>
  <c r="AZ98" i="10"/>
  <c r="AY98" i="10"/>
  <c r="AX98" i="10"/>
  <c r="AW98" i="10"/>
  <c r="AV98" i="10"/>
  <c r="AU98" i="10"/>
  <c r="AT98" i="10"/>
  <c r="AS98" i="10"/>
  <c r="AR98" i="10" s="1"/>
  <c r="BP97" i="10"/>
  <c r="BO97" i="10"/>
  <c r="BN97" i="10"/>
  <c r="BM97" i="10"/>
  <c r="BL97" i="10"/>
  <c r="BK97" i="10"/>
  <c r="BJ97" i="10"/>
  <c r="BI97" i="10"/>
  <c r="BH97" i="10"/>
  <c r="BG97" i="10"/>
  <c r="BF97" i="10"/>
  <c r="BE97" i="10"/>
  <c r="BD97" i="10"/>
  <c r="BC97" i="10"/>
  <c r="BB97" i="10"/>
  <c r="BA97" i="10"/>
  <c r="AZ97" i="10"/>
  <c r="AY97" i="10"/>
  <c r="AX97" i="10"/>
  <c r="AW97" i="10"/>
  <c r="AV97" i="10"/>
  <c r="AU97" i="10"/>
  <c r="AT97" i="10"/>
  <c r="AS97" i="10"/>
  <c r="AR97" i="10" s="1"/>
  <c r="BP96" i="10"/>
  <c r="BO96" i="10"/>
  <c r="BN96" i="10"/>
  <c r="BM96" i="10"/>
  <c r="BL96" i="10"/>
  <c r="BK96" i="10"/>
  <c r="BJ96" i="10"/>
  <c r="BI96" i="10"/>
  <c r="BH96" i="10"/>
  <c r="BG96" i="10"/>
  <c r="BF96" i="10"/>
  <c r="BE96" i="10"/>
  <c r="BD96" i="10"/>
  <c r="BC96" i="10"/>
  <c r="BB96" i="10"/>
  <c r="BA96" i="10"/>
  <c r="AZ96" i="10"/>
  <c r="AY96" i="10"/>
  <c r="AX96" i="10"/>
  <c r="AW96" i="10"/>
  <c r="AV96" i="10"/>
  <c r="AU96" i="10"/>
  <c r="AT96" i="10"/>
  <c r="AS96" i="10"/>
  <c r="AR96" i="10" s="1"/>
  <c r="BP95" i="10"/>
  <c r="BO95" i="10"/>
  <c r="BN95" i="10"/>
  <c r="BM95" i="10"/>
  <c r="BL95" i="10"/>
  <c r="BK95" i="10"/>
  <c r="BJ95" i="10"/>
  <c r="BI95" i="10"/>
  <c r="BH95" i="10"/>
  <c r="BG95" i="10"/>
  <c r="BF95" i="10"/>
  <c r="BE95" i="10"/>
  <c r="BD95" i="10"/>
  <c r="BC95" i="10"/>
  <c r="BB95" i="10"/>
  <c r="BA95" i="10"/>
  <c r="AZ95" i="10"/>
  <c r="AY95" i="10"/>
  <c r="AX95" i="10"/>
  <c r="AW95" i="10"/>
  <c r="AV95" i="10"/>
  <c r="AU95" i="10"/>
  <c r="AT95" i="10"/>
  <c r="AS95" i="10"/>
  <c r="AR95" i="10" s="1"/>
  <c r="BP94" i="10"/>
  <c r="BO94" i="10"/>
  <c r="BN94" i="10"/>
  <c r="BM94" i="10"/>
  <c r="BL94" i="10"/>
  <c r="BK94" i="10"/>
  <c r="BJ94" i="10"/>
  <c r="BI94" i="10"/>
  <c r="BH94" i="10"/>
  <c r="BG94" i="10"/>
  <c r="BF94" i="10"/>
  <c r="BE94" i="10"/>
  <c r="BD94" i="10"/>
  <c r="BC94" i="10"/>
  <c r="BB94" i="10"/>
  <c r="BA94" i="10"/>
  <c r="AZ94" i="10"/>
  <c r="AY94" i="10"/>
  <c r="AX94" i="10"/>
  <c r="AW94" i="10"/>
  <c r="AV94" i="10"/>
  <c r="AU94" i="10"/>
  <c r="AT94" i="10"/>
  <c r="AS94" i="10"/>
  <c r="AR94" i="10" s="1"/>
  <c r="BP93" i="10"/>
  <c r="BO93" i="10"/>
  <c r="BN93" i="10"/>
  <c r="BM93" i="10"/>
  <c r="BL93" i="10"/>
  <c r="BK93" i="10"/>
  <c r="BJ93" i="10"/>
  <c r="BI93" i="10"/>
  <c r="BH93" i="10"/>
  <c r="BG93" i="10"/>
  <c r="BF93" i="10"/>
  <c r="BE93" i="10"/>
  <c r="BD93" i="10"/>
  <c r="BC93" i="10"/>
  <c r="BB93" i="10"/>
  <c r="BA93" i="10"/>
  <c r="AZ93" i="10"/>
  <c r="AY93" i="10"/>
  <c r="AX93" i="10"/>
  <c r="AW93" i="10"/>
  <c r="AV93" i="10"/>
  <c r="AU93" i="10"/>
  <c r="AT93" i="10"/>
  <c r="AS93" i="10"/>
  <c r="AR93" i="10" s="1"/>
  <c r="BP92" i="10"/>
  <c r="BO92" i="10"/>
  <c r="BN92" i="10"/>
  <c r="BM92" i="10"/>
  <c r="BL92" i="10"/>
  <c r="BK92" i="10"/>
  <c r="BJ92" i="10"/>
  <c r="BI92" i="10"/>
  <c r="BH92" i="10"/>
  <c r="BG92" i="10"/>
  <c r="BF92" i="10"/>
  <c r="BE92" i="10"/>
  <c r="BD92" i="10"/>
  <c r="BC92" i="10"/>
  <c r="BB92" i="10"/>
  <c r="BA92" i="10"/>
  <c r="AZ92" i="10"/>
  <c r="AY92" i="10"/>
  <c r="AX92" i="10"/>
  <c r="AW92" i="10"/>
  <c r="AV92" i="10"/>
  <c r="AU92" i="10"/>
  <c r="AT92" i="10"/>
  <c r="AS92" i="10"/>
  <c r="AR92" i="10" s="1"/>
  <c r="BP91" i="10"/>
  <c r="BO91" i="10"/>
  <c r="BN91" i="10"/>
  <c r="BM91" i="10"/>
  <c r="BL91" i="10"/>
  <c r="BK91" i="10"/>
  <c r="BJ91" i="10"/>
  <c r="BI91" i="10"/>
  <c r="BH91" i="10"/>
  <c r="BG91" i="10"/>
  <c r="BF91" i="10"/>
  <c r="BE91" i="10"/>
  <c r="BD91" i="10"/>
  <c r="BC91" i="10"/>
  <c r="BB91" i="10"/>
  <c r="BA91" i="10"/>
  <c r="AZ91" i="10"/>
  <c r="AY91" i="10"/>
  <c r="AX91" i="10"/>
  <c r="AW91" i="10"/>
  <c r="AV91" i="10"/>
  <c r="AU91" i="10"/>
  <c r="AT91" i="10"/>
  <c r="AS91" i="10"/>
  <c r="AR91" i="10" s="1"/>
  <c r="BP90" i="10"/>
  <c r="BO90" i="10"/>
  <c r="BN90" i="10"/>
  <c r="BM90" i="10"/>
  <c r="BL90" i="10"/>
  <c r="BK90" i="10"/>
  <c r="BJ90" i="10"/>
  <c r="BI90" i="10"/>
  <c r="BH90" i="10"/>
  <c r="BG90" i="10"/>
  <c r="BF90" i="10"/>
  <c r="BE90" i="10"/>
  <c r="BD90" i="10"/>
  <c r="BC90" i="10"/>
  <c r="BB90" i="10"/>
  <c r="BA90" i="10"/>
  <c r="AZ90" i="10"/>
  <c r="AY90" i="10"/>
  <c r="AX90" i="10"/>
  <c r="AW90" i="10"/>
  <c r="AV90" i="10"/>
  <c r="AU90" i="10"/>
  <c r="AT90" i="10"/>
  <c r="AS90" i="10"/>
  <c r="AR90" i="10" s="1"/>
  <c r="BP89" i="10"/>
  <c r="BO89" i="10"/>
  <c r="BN89" i="10"/>
  <c r="BM89" i="10"/>
  <c r="BL89" i="10"/>
  <c r="BK89" i="10"/>
  <c r="BJ89" i="10"/>
  <c r="BI89" i="10"/>
  <c r="BH89" i="10"/>
  <c r="BG89" i="10"/>
  <c r="BF89" i="10"/>
  <c r="BE89" i="10"/>
  <c r="BD89" i="10"/>
  <c r="BC89" i="10"/>
  <c r="BB89" i="10"/>
  <c r="BA89" i="10"/>
  <c r="AZ89" i="10"/>
  <c r="AY89" i="10"/>
  <c r="AX89" i="10"/>
  <c r="AW89" i="10"/>
  <c r="AV89" i="10"/>
  <c r="AU89" i="10"/>
  <c r="AT89" i="10"/>
  <c r="AS89" i="10"/>
  <c r="AR89" i="10" s="1"/>
  <c r="BP88" i="10"/>
  <c r="BO88" i="10"/>
  <c r="BN88" i="10"/>
  <c r="BM88" i="10"/>
  <c r="BL88" i="10"/>
  <c r="BK88" i="10"/>
  <c r="BJ88" i="10"/>
  <c r="BI88" i="10"/>
  <c r="BH88" i="10"/>
  <c r="BG88" i="10"/>
  <c r="BF88" i="10"/>
  <c r="BE88" i="10"/>
  <c r="BD88" i="10"/>
  <c r="BC88" i="10"/>
  <c r="BB88" i="10"/>
  <c r="BA88" i="10"/>
  <c r="AZ88" i="10"/>
  <c r="AY88" i="10"/>
  <c r="AX88" i="10"/>
  <c r="AW88" i="10"/>
  <c r="AV88" i="10"/>
  <c r="AU88" i="10"/>
  <c r="AT88" i="10"/>
  <c r="AS88" i="10"/>
  <c r="AR88" i="10" s="1"/>
  <c r="BP87" i="10"/>
  <c r="BO87" i="10"/>
  <c r="BN87" i="10"/>
  <c r="BM87" i="10"/>
  <c r="BL87" i="10"/>
  <c r="BK87" i="10"/>
  <c r="BJ87" i="10"/>
  <c r="BI87" i="10"/>
  <c r="BH87" i="10"/>
  <c r="BG87" i="10"/>
  <c r="BF87" i="10"/>
  <c r="BE87" i="10"/>
  <c r="BD87" i="10"/>
  <c r="BC87" i="10"/>
  <c r="BB87" i="10"/>
  <c r="BA87" i="10"/>
  <c r="AZ87" i="10"/>
  <c r="AY87" i="10"/>
  <c r="AX87" i="10"/>
  <c r="AW87" i="10"/>
  <c r="AV87" i="10"/>
  <c r="AU87" i="10"/>
  <c r="AT87" i="10"/>
  <c r="AS87" i="10"/>
  <c r="AR87" i="10" s="1"/>
  <c r="BP86" i="10"/>
  <c r="BO86" i="10"/>
  <c r="BN86" i="10"/>
  <c r="BM86" i="10"/>
  <c r="BL86" i="10"/>
  <c r="BK86" i="10"/>
  <c r="BJ86" i="10"/>
  <c r="BI86" i="10"/>
  <c r="BH86" i="10"/>
  <c r="BG86" i="10"/>
  <c r="BF86" i="10"/>
  <c r="BE86" i="10"/>
  <c r="BD86" i="10"/>
  <c r="BC86" i="10"/>
  <c r="BB86" i="10"/>
  <c r="BA86" i="10"/>
  <c r="AZ86" i="10"/>
  <c r="AY86" i="10"/>
  <c r="AX86" i="10"/>
  <c r="AW86" i="10"/>
  <c r="AV86" i="10"/>
  <c r="AU86" i="10"/>
  <c r="AT86" i="10"/>
  <c r="AS86" i="10"/>
  <c r="AR86" i="10" s="1"/>
  <c r="BP85" i="10"/>
  <c r="BO85" i="10"/>
  <c r="BN85" i="10"/>
  <c r="BM85" i="10"/>
  <c r="BL85" i="10"/>
  <c r="BK85" i="10"/>
  <c r="BJ85" i="10"/>
  <c r="BI85" i="10"/>
  <c r="BH85" i="10"/>
  <c r="BG85" i="10"/>
  <c r="BF85" i="10"/>
  <c r="BE85" i="10"/>
  <c r="BD85" i="10"/>
  <c r="BC85" i="10"/>
  <c r="BB85" i="10"/>
  <c r="BA85" i="10"/>
  <c r="AZ85" i="10"/>
  <c r="AY85" i="10"/>
  <c r="AX85" i="10"/>
  <c r="AW85" i="10"/>
  <c r="AV85" i="10"/>
  <c r="AU85" i="10"/>
  <c r="AT85" i="10"/>
  <c r="AS85" i="10"/>
  <c r="AR85" i="10" s="1"/>
  <c r="BP84" i="10"/>
  <c r="BO84" i="10"/>
  <c r="BN84" i="10"/>
  <c r="BM84" i="10"/>
  <c r="BL84" i="10"/>
  <c r="BK84" i="10"/>
  <c r="BJ84" i="10"/>
  <c r="BI84" i="10"/>
  <c r="BH84" i="10"/>
  <c r="BG84" i="10"/>
  <c r="BF84" i="10"/>
  <c r="BE84" i="10"/>
  <c r="BD84" i="10"/>
  <c r="BC84" i="10"/>
  <c r="BB84" i="10"/>
  <c r="BA84" i="10"/>
  <c r="AZ84" i="10"/>
  <c r="AY84" i="10"/>
  <c r="AX84" i="10"/>
  <c r="AW84" i="10"/>
  <c r="AV84" i="10"/>
  <c r="AU84" i="10"/>
  <c r="AT84" i="10"/>
  <c r="AS84" i="10"/>
  <c r="AR84" i="10" s="1"/>
  <c r="BP83" i="10"/>
  <c r="BO83" i="10"/>
  <c r="BN83" i="10"/>
  <c r="BM83" i="10"/>
  <c r="BL83" i="10"/>
  <c r="BK83" i="10"/>
  <c r="BJ83" i="10"/>
  <c r="BI83" i="10"/>
  <c r="BH83" i="10"/>
  <c r="BG83" i="10"/>
  <c r="BF83" i="10"/>
  <c r="BE83" i="10"/>
  <c r="BD83" i="10"/>
  <c r="BC83" i="10"/>
  <c r="BB83" i="10"/>
  <c r="BA83" i="10"/>
  <c r="AZ83" i="10"/>
  <c r="AY83" i="10"/>
  <c r="AX83" i="10"/>
  <c r="AW83" i="10"/>
  <c r="AV83" i="10"/>
  <c r="AU83" i="10"/>
  <c r="AT83" i="10"/>
  <c r="AS83" i="10"/>
  <c r="AR83" i="10" s="1"/>
  <c r="BP82" i="10"/>
  <c r="BO82" i="10"/>
  <c r="BN82" i="10"/>
  <c r="BM82" i="10"/>
  <c r="BL82" i="10"/>
  <c r="BK82" i="10"/>
  <c r="BJ82" i="10"/>
  <c r="BI82" i="10"/>
  <c r="BH82" i="10"/>
  <c r="BG82" i="10"/>
  <c r="BF82" i="10"/>
  <c r="BE82" i="10"/>
  <c r="BD82" i="10"/>
  <c r="BC82" i="10"/>
  <c r="BB82" i="10"/>
  <c r="BA82" i="10"/>
  <c r="AZ82" i="10"/>
  <c r="AY82" i="10"/>
  <c r="AX82" i="10"/>
  <c r="AW82" i="10"/>
  <c r="AV82" i="10"/>
  <c r="AU82" i="10"/>
  <c r="AT82" i="10"/>
  <c r="AS82" i="10"/>
  <c r="AR82" i="10" s="1"/>
  <c r="BP81" i="10"/>
  <c r="BO81" i="10"/>
  <c r="BN81" i="10"/>
  <c r="BM81" i="10"/>
  <c r="BL81" i="10"/>
  <c r="BK81" i="10"/>
  <c r="BJ81" i="10"/>
  <c r="BI81" i="10"/>
  <c r="BH81" i="10"/>
  <c r="BG81" i="10"/>
  <c r="BF81" i="10"/>
  <c r="BE81" i="10"/>
  <c r="BD81" i="10"/>
  <c r="BC81" i="10"/>
  <c r="BB81" i="10"/>
  <c r="BA81" i="10"/>
  <c r="AZ81" i="10"/>
  <c r="AY81" i="10"/>
  <c r="AX81" i="10"/>
  <c r="AW81" i="10"/>
  <c r="AV81" i="10"/>
  <c r="AU81" i="10"/>
  <c r="AT81" i="10"/>
  <c r="AS81" i="10"/>
  <c r="AR81" i="10" s="1"/>
  <c r="BP80" i="10"/>
  <c r="BO80" i="10"/>
  <c r="BN80" i="10"/>
  <c r="BM80" i="10"/>
  <c r="BL80" i="10"/>
  <c r="BK80" i="10"/>
  <c r="BJ80" i="10"/>
  <c r="BI80" i="10"/>
  <c r="BH80" i="10"/>
  <c r="BG80" i="10"/>
  <c r="BF80" i="10"/>
  <c r="BE80" i="10"/>
  <c r="BD80" i="10"/>
  <c r="BC80" i="10"/>
  <c r="BB80" i="10"/>
  <c r="BA80" i="10"/>
  <c r="AZ80" i="10"/>
  <c r="AY80" i="10"/>
  <c r="AX80" i="10"/>
  <c r="AW80" i="10"/>
  <c r="AV80" i="10"/>
  <c r="AU80" i="10"/>
  <c r="AT80" i="10"/>
  <c r="AS80" i="10"/>
  <c r="AR80" i="10" s="1"/>
  <c r="BP79" i="10"/>
  <c r="BO79" i="10"/>
  <c r="BN79" i="10"/>
  <c r="BM79" i="10"/>
  <c r="BL79" i="10"/>
  <c r="BK79" i="10"/>
  <c r="BJ79" i="10"/>
  <c r="BI79" i="10"/>
  <c r="BH79" i="10"/>
  <c r="BG79" i="10"/>
  <c r="BF79" i="10"/>
  <c r="BE79" i="10"/>
  <c r="BD79" i="10"/>
  <c r="BC79" i="10"/>
  <c r="BB79" i="10"/>
  <c r="BA79" i="10"/>
  <c r="AZ79" i="10"/>
  <c r="AY79" i="10"/>
  <c r="AX79" i="10"/>
  <c r="AW79" i="10"/>
  <c r="AV79" i="10"/>
  <c r="AU79" i="10"/>
  <c r="AT79" i="10"/>
  <c r="AS79" i="10"/>
  <c r="AR79" i="10" s="1"/>
  <c r="BP78" i="10"/>
  <c r="BO78" i="10"/>
  <c r="BN78" i="10"/>
  <c r="BM78" i="10"/>
  <c r="BL78" i="10"/>
  <c r="BK78" i="10"/>
  <c r="BJ78" i="10"/>
  <c r="BI78" i="10"/>
  <c r="BH78" i="10"/>
  <c r="BG78" i="10"/>
  <c r="BF78" i="10"/>
  <c r="BE78" i="10"/>
  <c r="BD78" i="10"/>
  <c r="BC78" i="10"/>
  <c r="BB78" i="10"/>
  <c r="BA78" i="10"/>
  <c r="AZ78" i="10"/>
  <c r="AY78" i="10"/>
  <c r="AX78" i="10"/>
  <c r="AW78" i="10"/>
  <c r="AV78" i="10"/>
  <c r="AU78" i="10"/>
  <c r="AT78" i="10"/>
  <c r="AS78" i="10"/>
  <c r="AR78" i="10" s="1"/>
  <c r="BP77" i="10"/>
  <c r="BO77" i="10"/>
  <c r="BN77" i="10"/>
  <c r="BM77" i="10"/>
  <c r="BL77" i="10"/>
  <c r="BK77" i="10"/>
  <c r="BJ77" i="10"/>
  <c r="BI77" i="10"/>
  <c r="BH77" i="10"/>
  <c r="BG77" i="10"/>
  <c r="BF77" i="10"/>
  <c r="BE77" i="10"/>
  <c r="BD77" i="10"/>
  <c r="BC77" i="10"/>
  <c r="BB77" i="10"/>
  <c r="BA77" i="10"/>
  <c r="AZ77" i="10"/>
  <c r="AY77" i="10"/>
  <c r="AX77" i="10"/>
  <c r="AW77" i="10"/>
  <c r="AV77" i="10"/>
  <c r="AU77" i="10"/>
  <c r="AT77" i="10"/>
  <c r="AS77" i="10"/>
  <c r="AR77" i="10" s="1"/>
  <c r="BP76" i="10"/>
  <c r="BO76" i="10"/>
  <c r="BN76" i="10"/>
  <c r="BM76" i="10"/>
  <c r="BL76" i="10"/>
  <c r="BK76" i="10"/>
  <c r="BJ76" i="10"/>
  <c r="BI76" i="10"/>
  <c r="BH76" i="10"/>
  <c r="BG76" i="10"/>
  <c r="BF76" i="10"/>
  <c r="BE76" i="10"/>
  <c r="BD76" i="10"/>
  <c r="BC76" i="10"/>
  <c r="BB76" i="10"/>
  <c r="BA76" i="10"/>
  <c r="AZ76" i="10"/>
  <c r="AY76" i="10"/>
  <c r="AX76" i="10"/>
  <c r="AW76" i="10"/>
  <c r="AV76" i="10"/>
  <c r="AU76" i="10"/>
  <c r="AT76" i="10"/>
  <c r="AS76" i="10"/>
  <c r="AR76" i="10" s="1"/>
  <c r="BP75" i="10"/>
  <c r="BO75" i="10"/>
  <c r="BN75" i="10"/>
  <c r="BM75" i="10"/>
  <c r="BL75" i="10"/>
  <c r="BK75" i="10"/>
  <c r="BJ75" i="10"/>
  <c r="BI75" i="10"/>
  <c r="BH75" i="10"/>
  <c r="BG75" i="10"/>
  <c r="BF75" i="10"/>
  <c r="BE75" i="10"/>
  <c r="BD75" i="10"/>
  <c r="BC75" i="10"/>
  <c r="BB75" i="10"/>
  <c r="BA75" i="10"/>
  <c r="AZ75" i="10"/>
  <c r="AY75" i="10"/>
  <c r="AX75" i="10"/>
  <c r="AW75" i="10"/>
  <c r="AV75" i="10"/>
  <c r="AU75" i="10"/>
  <c r="AT75" i="10"/>
  <c r="AS75" i="10"/>
  <c r="AR75" i="10" s="1"/>
  <c r="BP74" i="10"/>
  <c r="BO74" i="10"/>
  <c r="BN74" i="10"/>
  <c r="BM74" i="10"/>
  <c r="BL74" i="10"/>
  <c r="BK74" i="10"/>
  <c r="BJ74" i="10"/>
  <c r="BI74" i="10"/>
  <c r="BH74" i="10"/>
  <c r="BG74" i="10"/>
  <c r="BF74" i="10"/>
  <c r="BE74" i="10"/>
  <c r="BD74" i="10"/>
  <c r="BC74" i="10"/>
  <c r="BB74" i="10"/>
  <c r="BA74" i="10"/>
  <c r="AZ74" i="10"/>
  <c r="AY74" i="10"/>
  <c r="AX74" i="10"/>
  <c r="AW74" i="10"/>
  <c r="AV74" i="10"/>
  <c r="AU74" i="10"/>
  <c r="AT74" i="10"/>
  <c r="AS74" i="10"/>
  <c r="AR74" i="10" s="1"/>
  <c r="BP73" i="10"/>
  <c r="BO73" i="10"/>
  <c r="BN73" i="10"/>
  <c r="BM73" i="10"/>
  <c r="BL73" i="10"/>
  <c r="BK73" i="10"/>
  <c r="BJ73" i="10"/>
  <c r="BI73" i="10"/>
  <c r="BH73" i="10"/>
  <c r="BG73" i="10"/>
  <c r="BF73" i="10"/>
  <c r="BE73" i="10"/>
  <c r="BD73" i="10"/>
  <c r="BC73" i="10"/>
  <c r="BB73" i="10"/>
  <c r="BA73" i="10"/>
  <c r="AZ73" i="10"/>
  <c r="AY73" i="10"/>
  <c r="AX73" i="10"/>
  <c r="AW73" i="10"/>
  <c r="AV73" i="10"/>
  <c r="AU73" i="10"/>
  <c r="AT73" i="10"/>
  <c r="AS73" i="10"/>
  <c r="AR73" i="10" s="1"/>
  <c r="BP72" i="10"/>
  <c r="BO72" i="10"/>
  <c r="BN72" i="10"/>
  <c r="BM72" i="10"/>
  <c r="BL72" i="10"/>
  <c r="BK72" i="10"/>
  <c r="BJ72" i="10"/>
  <c r="BI72" i="10"/>
  <c r="BH72" i="10"/>
  <c r="BG72" i="10"/>
  <c r="BF72" i="10"/>
  <c r="BE72" i="10"/>
  <c r="BD72" i="10"/>
  <c r="BC72" i="10"/>
  <c r="BB72" i="10"/>
  <c r="BA72" i="10"/>
  <c r="AZ72" i="10"/>
  <c r="AY72" i="10"/>
  <c r="AX72" i="10"/>
  <c r="AW72" i="10"/>
  <c r="AV72" i="10"/>
  <c r="AU72" i="10"/>
  <c r="AT72" i="10"/>
  <c r="AS72" i="10"/>
  <c r="AR72" i="10" s="1"/>
  <c r="BP71" i="10"/>
  <c r="BO71" i="10"/>
  <c r="BN71" i="10"/>
  <c r="BM71" i="10"/>
  <c r="BL71" i="10"/>
  <c r="BK71" i="10"/>
  <c r="BJ71" i="10"/>
  <c r="BI71" i="10"/>
  <c r="BH71" i="10"/>
  <c r="BG71" i="10"/>
  <c r="BF71" i="10"/>
  <c r="BE71" i="10"/>
  <c r="BD71" i="10"/>
  <c r="BC71" i="10"/>
  <c r="BB71" i="10"/>
  <c r="BA71" i="10"/>
  <c r="AZ71" i="10"/>
  <c r="AY71" i="10"/>
  <c r="AX71" i="10"/>
  <c r="AW71" i="10"/>
  <c r="AV71" i="10"/>
  <c r="AU71" i="10"/>
  <c r="AT71" i="10"/>
  <c r="AS71" i="10"/>
  <c r="AR71" i="10" s="1"/>
  <c r="BP70" i="10"/>
  <c r="BO70" i="10"/>
  <c r="BN70" i="10"/>
  <c r="BM70" i="10"/>
  <c r="BL70" i="10"/>
  <c r="BK70" i="10"/>
  <c r="BJ70" i="10"/>
  <c r="BI70" i="10"/>
  <c r="BH70" i="10"/>
  <c r="BG70" i="10"/>
  <c r="BF70" i="10"/>
  <c r="BE70" i="10"/>
  <c r="BD70" i="10"/>
  <c r="BC70" i="10"/>
  <c r="BB70" i="10"/>
  <c r="BA70" i="10"/>
  <c r="AZ70" i="10"/>
  <c r="AY70" i="10"/>
  <c r="AX70" i="10"/>
  <c r="AW70" i="10"/>
  <c r="AV70" i="10"/>
  <c r="AU70" i="10"/>
  <c r="AT70" i="10"/>
  <c r="AS70" i="10"/>
  <c r="AR70" i="10" s="1"/>
  <c r="BP69" i="10"/>
  <c r="BO69" i="10"/>
  <c r="BN69" i="10"/>
  <c r="BM69" i="10"/>
  <c r="BL69" i="10"/>
  <c r="BK69" i="10"/>
  <c r="BJ69" i="10"/>
  <c r="BI69" i="10"/>
  <c r="BH69" i="10"/>
  <c r="BG69" i="10"/>
  <c r="BF69" i="10"/>
  <c r="BE69" i="10"/>
  <c r="BD69" i="10"/>
  <c r="BC69" i="10"/>
  <c r="BB69" i="10"/>
  <c r="BA69" i="10"/>
  <c r="AZ69" i="10"/>
  <c r="AY69" i="10"/>
  <c r="AX69" i="10"/>
  <c r="AW69" i="10"/>
  <c r="AV69" i="10"/>
  <c r="AU69" i="10"/>
  <c r="AT69" i="10"/>
  <c r="AS69" i="10"/>
  <c r="AR69" i="10" s="1"/>
  <c r="BP68" i="10"/>
  <c r="BO68" i="10"/>
  <c r="BN68" i="10"/>
  <c r="BM68" i="10"/>
  <c r="BL68" i="10"/>
  <c r="BK68" i="10"/>
  <c r="BJ68" i="10"/>
  <c r="BI68" i="10"/>
  <c r="BH68" i="10"/>
  <c r="BG68" i="10"/>
  <c r="BF68" i="10"/>
  <c r="BE68" i="10"/>
  <c r="BD68" i="10"/>
  <c r="BC68" i="10"/>
  <c r="BB68" i="10"/>
  <c r="BA68" i="10"/>
  <c r="AZ68" i="10"/>
  <c r="AY68" i="10"/>
  <c r="AX68" i="10"/>
  <c r="AW68" i="10"/>
  <c r="AV68" i="10"/>
  <c r="AU68" i="10"/>
  <c r="AT68" i="10"/>
  <c r="AS68" i="10"/>
  <c r="AR68" i="10" s="1"/>
  <c r="BP67" i="10"/>
  <c r="BO67" i="10"/>
  <c r="BN67" i="10"/>
  <c r="BM67" i="10"/>
  <c r="BL67" i="10"/>
  <c r="BK67" i="10"/>
  <c r="BJ67" i="10"/>
  <c r="BI67" i="10"/>
  <c r="BH67" i="10"/>
  <c r="BG67" i="10"/>
  <c r="BF67" i="10"/>
  <c r="BE67" i="10"/>
  <c r="BD67" i="10"/>
  <c r="BC67" i="10"/>
  <c r="BB67" i="10"/>
  <c r="BA67" i="10"/>
  <c r="AZ67" i="10"/>
  <c r="AY67" i="10"/>
  <c r="AX67" i="10"/>
  <c r="AW67" i="10"/>
  <c r="AV67" i="10"/>
  <c r="AU67" i="10"/>
  <c r="AT67" i="10"/>
  <c r="AS67" i="10"/>
  <c r="AR67" i="10" s="1"/>
  <c r="BP66" i="10"/>
  <c r="BO66" i="10"/>
  <c r="BN66" i="10"/>
  <c r="BM66" i="10"/>
  <c r="BL66" i="10"/>
  <c r="BK66" i="10"/>
  <c r="BJ66" i="10"/>
  <c r="BI66" i="10"/>
  <c r="BH66" i="10"/>
  <c r="BG66" i="10"/>
  <c r="BF66" i="10"/>
  <c r="BE66" i="10"/>
  <c r="BD66" i="10"/>
  <c r="BC66" i="10"/>
  <c r="BB66" i="10"/>
  <c r="BA66" i="10"/>
  <c r="AZ66" i="10"/>
  <c r="AY66" i="10"/>
  <c r="AX66" i="10"/>
  <c r="AW66" i="10"/>
  <c r="AV66" i="10"/>
  <c r="AU66" i="10"/>
  <c r="AT66" i="10"/>
  <c r="AS66" i="10"/>
  <c r="AR66" i="10" s="1"/>
  <c r="BP65" i="10"/>
  <c r="BO65" i="10"/>
  <c r="BN65" i="10"/>
  <c r="BM65" i="10"/>
  <c r="BL65" i="10"/>
  <c r="BK65" i="10"/>
  <c r="BJ65" i="10"/>
  <c r="BI65" i="10"/>
  <c r="BH65" i="10"/>
  <c r="BG65" i="10"/>
  <c r="BF65" i="10"/>
  <c r="BE65" i="10"/>
  <c r="BD65" i="10"/>
  <c r="BC65" i="10"/>
  <c r="BB65" i="10"/>
  <c r="BA65" i="10"/>
  <c r="AZ65" i="10"/>
  <c r="AY65" i="10"/>
  <c r="AX65" i="10"/>
  <c r="AW65" i="10"/>
  <c r="AV65" i="10"/>
  <c r="AU65" i="10"/>
  <c r="AT65" i="10"/>
  <c r="AS65" i="10"/>
  <c r="AR65" i="10" s="1"/>
  <c r="BP64" i="10"/>
  <c r="BO64" i="10"/>
  <c r="BN64" i="10"/>
  <c r="BM64" i="10"/>
  <c r="BL64" i="10"/>
  <c r="BK64" i="10"/>
  <c r="BJ64" i="10"/>
  <c r="BI64" i="10"/>
  <c r="BH64" i="10"/>
  <c r="BG64" i="10"/>
  <c r="BF64" i="10"/>
  <c r="BE64" i="10"/>
  <c r="BD64" i="10"/>
  <c r="BC64" i="10"/>
  <c r="BB64" i="10"/>
  <c r="BA64" i="10"/>
  <c r="AZ64" i="10"/>
  <c r="AY64" i="10"/>
  <c r="AX64" i="10"/>
  <c r="AW64" i="10"/>
  <c r="AV64" i="10"/>
  <c r="AU64" i="10"/>
  <c r="AT64" i="10"/>
  <c r="AS64" i="10"/>
  <c r="AR64" i="10" s="1"/>
  <c r="BP63" i="10"/>
  <c r="BO63" i="10"/>
  <c r="BN63" i="10"/>
  <c r="BM63" i="10"/>
  <c r="BL63" i="10"/>
  <c r="BK63" i="10"/>
  <c r="BJ63" i="10"/>
  <c r="BI63" i="10"/>
  <c r="BH63" i="10"/>
  <c r="BG63" i="10"/>
  <c r="BF63" i="10"/>
  <c r="BE63" i="10"/>
  <c r="BD63" i="10"/>
  <c r="BC63" i="10"/>
  <c r="BB63" i="10"/>
  <c r="BA63" i="10"/>
  <c r="AZ63" i="10"/>
  <c r="AY63" i="10"/>
  <c r="AX63" i="10"/>
  <c r="AW63" i="10"/>
  <c r="AV63" i="10"/>
  <c r="AU63" i="10"/>
  <c r="AT63" i="10"/>
  <c r="AS63" i="10"/>
  <c r="AR63" i="10" s="1"/>
  <c r="BP62" i="10"/>
  <c r="BO62" i="10"/>
  <c r="BN62" i="10"/>
  <c r="BM62" i="10"/>
  <c r="BL62" i="10"/>
  <c r="BK62" i="10"/>
  <c r="BJ62" i="10"/>
  <c r="BI62" i="10"/>
  <c r="BH62" i="10"/>
  <c r="BG62" i="10"/>
  <c r="BF62" i="10"/>
  <c r="BE62" i="10"/>
  <c r="BD62" i="10"/>
  <c r="BC62" i="10"/>
  <c r="BB62" i="10"/>
  <c r="BA62" i="10"/>
  <c r="AZ62" i="10"/>
  <c r="AY62" i="10"/>
  <c r="AX62" i="10"/>
  <c r="AW62" i="10"/>
  <c r="AV62" i="10"/>
  <c r="AU62" i="10"/>
  <c r="AT62" i="10"/>
  <c r="AS62" i="10"/>
  <c r="AR62" i="10" s="1"/>
  <c r="BP61" i="10"/>
  <c r="BO61" i="10"/>
  <c r="BN61" i="10"/>
  <c r="BM61" i="10"/>
  <c r="BL61" i="10"/>
  <c r="BK61" i="10"/>
  <c r="BJ61" i="10"/>
  <c r="BI61" i="10"/>
  <c r="BH61" i="10"/>
  <c r="BG61" i="10"/>
  <c r="BF61" i="10"/>
  <c r="BE61" i="10"/>
  <c r="BD61" i="10"/>
  <c r="BC61" i="10"/>
  <c r="BB61" i="10"/>
  <c r="BA61" i="10"/>
  <c r="AZ61" i="10"/>
  <c r="AY61" i="10"/>
  <c r="AX61" i="10"/>
  <c r="AW61" i="10"/>
  <c r="AV61" i="10"/>
  <c r="AU61" i="10"/>
  <c r="AT61" i="10"/>
  <c r="AS61" i="10"/>
  <c r="AR61" i="10" s="1"/>
  <c r="BP60" i="10"/>
  <c r="BO60" i="10"/>
  <c r="BN60" i="10"/>
  <c r="BM60" i="10"/>
  <c r="BL60" i="10"/>
  <c r="BK60" i="10"/>
  <c r="BJ60" i="10"/>
  <c r="BI60" i="10"/>
  <c r="BH60" i="10"/>
  <c r="BG60" i="10"/>
  <c r="BF60" i="10"/>
  <c r="BE60" i="10"/>
  <c r="BD60" i="10"/>
  <c r="BC60" i="10"/>
  <c r="BB60" i="10"/>
  <c r="BA60" i="10"/>
  <c r="AZ60" i="10"/>
  <c r="AY60" i="10"/>
  <c r="AX60" i="10"/>
  <c r="AW60" i="10"/>
  <c r="AV60" i="10"/>
  <c r="AU60" i="10"/>
  <c r="AT60" i="10"/>
  <c r="AS60" i="10"/>
  <c r="AR60" i="10" s="1"/>
  <c r="BP59" i="10"/>
  <c r="BO59" i="10"/>
  <c r="BN59" i="10"/>
  <c r="BM59" i="10"/>
  <c r="BL59" i="10"/>
  <c r="BK59" i="10"/>
  <c r="BJ59" i="10"/>
  <c r="BI59" i="10"/>
  <c r="BH59" i="10"/>
  <c r="BG59" i="10"/>
  <c r="BF59" i="10"/>
  <c r="BE59" i="10"/>
  <c r="BD59" i="10"/>
  <c r="BC59" i="10"/>
  <c r="BB59" i="10"/>
  <c r="BA59" i="10"/>
  <c r="AZ59" i="10"/>
  <c r="AY59" i="10"/>
  <c r="AX59" i="10"/>
  <c r="AW59" i="10"/>
  <c r="AV59" i="10"/>
  <c r="AU59" i="10"/>
  <c r="AT59" i="10"/>
  <c r="AS59" i="10"/>
  <c r="AR59" i="10" s="1"/>
  <c r="BP58" i="10"/>
  <c r="BO58" i="10"/>
  <c r="BN58" i="10"/>
  <c r="BM58" i="10"/>
  <c r="BL58" i="10"/>
  <c r="BK58" i="10"/>
  <c r="BJ58" i="10"/>
  <c r="BI58" i="10"/>
  <c r="BH58" i="10"/>
  <c r="BG58" i="10"/>
  <c r="BF58" i="10"/>
  <c r="BE58" i="10"/>
  <c r="BD58" i="10"/>
  <c r="BC58" i="10"/>
  <c r="BB58" i="10"/>
  <c r="BA58" i="10"/>
  <c r="AZ58" i="10"/>
  <c r="AY58" i="10"/>
  <c r="AX58" i="10"/>
  <c r="AW58" i="10"/>
  <c r="AV58" i="10"/>
  <c r="AU58" i="10"/>
  <c r="AT58" i="10"/>
  <c r="AS58" i="10"/>
  <c r="AR58" i="10" s="1"/>
  <c r="BP57" i="10"/>
  <c r="BO57" i="10"/>
  <c r="BN57" i="10"/>
  <c r="BM57" i="10"/>
  <c r="BL57" i="10"/>
  <c r="BK57" i="10"/>
  <c r="BJ57" i="10"/>
  <c r="BI57" i="10"/>
  <c r="BH57" i="10"/>
  <c r="BG57" i="10"/>
  <c r="BF57" i="10"/>
  <c r="BE57" i="10"/>
  <c r="BD57" i="10"/>
  <c r="BC57" i="10"/>
  <c r="BB57" i="10"/>
  <c r="BA57" i="10"/>
  <c r="AZ57" i="10"/>
  <c r="AY57" i="10"/>
  <c r="AX57" i="10"/>
  <c r="AW57" i="10"/>
  <c r="AV57" i="10"/>
  <c r="AU57" i="10"/>
  <c r="AT57" i="10"/>
  <c r="AS57" i="10"/>
  <c r="AR57" i="10" s="1"/>
  <c r="BP56" i="10"/>
  <c r="BO56" i="10"/>
  <c r="BN56" i="10"/>
  <c r="BM56" i="10"/>
  <c r="BL56" i="10"/>
  <c r="BK56" i="10"/>
  <c r="BJ56" i="10"/>
  <c r="BI56" i="10"/>
  <c r="BH56" i="10"/>
  <c r="BG56" i="10"/>
  <c r="BF56" i="10"/>
  <c r="BE56" i="10"/>
  <c r="BD56" i="10"/>
  <c r="BC56" i="10"/>
  <c r="BB56" i="10"/>
  <c r="BA56" i="10"/>
  <c r="AZ56" i="10"/>
  <c r="AY56" i="10"/>
  <c r="AX56" i="10"/>
  <c r="AW56" i="10"/>
  <c r="AV56" i="10"/>
  <c r="AU56" i="10"/>
  <c r="AT56" i="10"/>
  <c r="AS56" i="10"/>
  <c r="AR56" i="10" s="1"/>
  <c r="BP55" i="10"/>
  <c r="BO55" i="10"/>
  <c r="BN55" i="10"/>
  <c r="BM55" i="10"/>
  <c r="BL55" i="10"/>
  <c r="BK55" i="10"/>
  <c r="BJ55" i="10"/>
  <c r="BI55" i="10"/>
  <c r="BH55" i="10"/>
  <c r="BG55" i="10"/>
  <c r="BF55" i="10"/>
  <c r="BE55" i="10"/>
  <c r="BD55" i="10"/>
  <c r="BC55" i="10"/>
  <c r="BB55" i="10"/>
  <c r="BA55" i="10"/>
  <c r="AZ55" i="10"/>
  <c r="AY55" i="10"/>
  <c r="AX55" i="10"/>
  <c r="AW55" i="10"/>
  <c r="AV55" i="10"/>
  <c r="AU55" i="10"/>
  <c r="AT55" i="10"/>
  <c r="AS55" i="10"/>
  <c r="AR55" i="10" s="1"/>
  <c r="BP54" i="10"/>
  <c r="BO54" i="10"/>
  <c r="BN54" i="10"/>
  <c r="BM54" i="10"/>
  <c r="BL54" i="10"/>
  <c r="BK54" i="10"/>
  <c r="BJ54" i="10"/>
  <c r="BI54" i="10"/>
  <c r="BH54" i="10"/>
  <c r="BG54" i="10"/>
  <c r="BF54" i="10"/>
  <c r="BE54" i="10"/>
  <c r="BD54" i="10"/>
  <c r="BC54" i="10"/>
  <c r="BB54" i="10"/>
  <c r="BA54" i="10"/>
  <c r="AZ54" i="10"/>
  <c r="AY54" i="10"/>
  <c r="AX54" i="10"/>
  <c r="AW54" i="10"/>
  <c r="AV54" i="10"/>
  <c r="AU54" i="10"/>
  <c r="AT54" i="10"/>
  <c r="AS54" i="10"/>
  <c r="AR54" i="10" s="1"/>
  <c r="BP53" i="10"/>
  <c r="BO53" i="10"/>
  <c r="BN53" i="10"/>
  <c r="BM53" i="10"/>
  <c r="BL53" i="10"/>
  <c r="BK53" i="10"/>
  <c r="BJ53" i="10"/>
  <c r="BI53" i="10"/>
  <c r="BH53" i="10"/>
  <c r="BG53" i="10"/>
  <c r="BF53" i="10"/>
  <c r="BE53" i="10"/>
  <c r="BD53" i="10"/>
  <c r="BC53" i="10"/>
  <c r="BB53" i="10"/>
  <c r="BA53" i="10"/>
  <c r="AZ53" i="10"/>
  <c r="AY53" i="10"/>
  <c r="AX53" i="10"/>
  <c r="AW53" i="10"/>
  <c r="AV53" i="10"/>
  <c r="AU53" i="10"/>
  <c r="AT53" i="10"/>
  <c r="AS53" i="10"/>
  <c r="AR53" i="10" s="1"/>
  <c r="BP52" i="10"/>
  <c r="BO52" i="10"/>
  <c r="BN52" i="10"/>
  <c r="BM52" i="10"/>
  <c r="BL52" i="10"/>
  <c r="BK52" i="10"/>
  <c r="BJ52" i="10"/>
  <c r="BI52" i="10"/>
  <c r="BH52" i="10"/>
  <c r="BG52" i="10"/>
  <c r="BF52" i="10"/>
  <c r="BE52" i="10"/>
  <c r="BD52" i="10"/>
  <c r="BC52" i="10"/>
  <c r="BB52" i="10"/>
  <c r="BA52" i="10"/>
  <c r="AZ52" i="10"/>
  <c r="AY52" i="10"/>
  <c r="AX52" i="10"/>
  <c r="AW52" i="10"/>
  <c r="AV52" i="10"/>
  <c r="AU52" i="10"/>
  <c r="AT52" i="10"/>
  <c r="AS52" i="10"/>
  <c r="AR52" i="10" s="1"/>
  <c r="BP51" i="10"/>
  <c r="BO51" i="10"/>
  <c r="BN51" i="10"/>
  <c r="BM51" i="10"/>
  <c r="BL51" i="10"/>
  <c r="BK51" i="10"/>
  <c r="BJ51" i="10"/>
  <c r="BI51" i="10"/>
  <c r="BH51" i="10"/>
  <c r="BG51" i="10"/>
  <c r="BF51" i="10"/>
  <c r="BE51" i="10"/>
  <c r="BD51" i="10"/>
  <c r="BC51" i="10"/>
  <c r="BB51" i="10"/>
  <c r="BA51" i="10"/>
  <c r="AZ51" i="10"/>
  <c r="AY51" i="10"/>
  <c r="AX51" i="10"/>
  <c r="AW51" i="10"/>
  <c r="AV51" i="10"/>
  <c r="AU51" i="10"/>
  <c r="AT51" i="10"/>
  <c r="AS51" i="10"/>
  <c r="AR51" i="10" s="1"/>
  <c r="BP50" i="10"/>
  <c r="BO50" i="10"/>
  <c r="BN50" i="10"/>
  <c r="BM50" i="10"/>
  <c r="BL50" i="10"/>
  <c r="BK50" i="10"/>
  <c r="BJ50" i="10"/>
  <c r="BI50" i="10"/>
  <c r="BH50" i="10"/>
  <c r="BG50" i="10"/>
  <c r="BF50" i="10"/>
  <c r="BE50" i="10"/>
  <c r="BD50" i="10"/>
  <c r="BC50" i="10"/>
  <c r="BB50" i="10"/>
  <c r="BA50" i="10"/>
  <c r="AZ50" i="10"/>
  <c r="AY50" i="10"/>
  <c r="AX50" i="10"/>
  <c r="AW50" i="10"/>
  <c r="AV50" i="10"/>
  <c r="AU50" i="10"/>
  <c r="AT50" i="10"/>
  <c r="AS50" i="10"/>
  <c r="AR50" i="10" s="1"/>
  <c r="BP49" i="10"/>
  <c r="BO49" i="10"/>
  <c r="BN49" i="10"/>
  <c r="BM49" i="10"/>
  <c r="BL49" i="10"/>
  <c r="BK49" i="10"/>
  <c r="BJ49" i="10"/>
  <c r="BI49" i="10"/>
  <c r="BH49" i="10"/>
  <c r="BG49" i="10"/>
  <c r="BF49" i="10"/>
  <c r="BE49" i="10"/>
  <c r="BD49" i="10"/>
  <c r="BC49" i="10"/>
  <c r="BB49" i="10"/>
  <c r="BA49" i="10"/>
  <c r="AZ49" i="10"/>
  <c r="AY49" i="10"/>
  <c r="AX49" i="10"/>
  <c r="AW49" i="10"/>
  <c r="AV49" i="10"/>
  <c r="AU49" i="10"/>
  <c r="AT49" i="10"/>
  <c r="AS49" i="10"/>
  <c r="AR49" i="10" s="1"/>
  <c r="BP48" i="10"/>
  <c r="BO48" i="10"/>
  <c r="BN48" i="10"/>
  <c r="BM48" i="10"/>
  <c r="BL48" i="10"/>
  <c r="BK48" i="10"/>
  <c r="BJ48" i="10"/>
  <c r="BI48" i="10"/>
  <c r="BH48" i="10"/>
  <c r="BG48" i="10"/>
  <c r="BF48" i="10"/>
  <c r="BE48" i="10"/>
  <c r="BD48" i="10"/>
  <c r="BC48" i="10"/>
  <c r="BB48" i="10"/>
  <c r="BA48" i="10"/>
  <c r="AZ48" i="10"/>
  <c r="AY48" i="10"/>
  <c r="AX48" i="10"/>
  <c r="AW48" i="10"/>
  <c r="AV48" i="10"/>
  <c r="AU48" i="10"/>
  <c r="AT48" i="10"/>
  <c r="AS48" i="10"/>
  <c r="AR48" i="10" s="1"/>
  <c r="BP47" i="10"/>
  <c r="BO47" i="10"/>
  <c r="BN47" i="10"/>
  <c r="BM47" i="10"/>
  <c r="BL47" i="10"/>
  <c r="BK47" i="10"/>
  <c r="BJ47" i="10"/>
  <c r="BI47" i="10"/>
  <c r="BH47" i="10"/>
  <c r="BG47" i="10"/>
  <c r="BF47" i="10"/>
  <c r="BE47" i="10"/>
  <c r="BD47" i="10"/>
  <c r="BC47" i="10"/>
  <c r="BB47" i="10"/>
  <c r="BA47" i="10"/>
  <c r="AZ47" i="10"/>
  <c r="AY47" i="10"/>
  <c r="AX47" i="10"/>
  <c r="AW47" i="10"/>
  <c r="AV47" i="10"/>
  <c r="AU47" i="10"/>
  <c r="AT47" i="10"/>
  <c r="AS47" i="10"/>
  <c r="AR47" i="10" s="1"/>
  <c r="BP46" i="10"/>
  <c r="BO46" i="10"/>
  <c r="BN46" i="10"/>
  <c r="BM46" i="10"/>
  <c r="BL46" i="10"/>
  <c r="BK46" i="10"/>
  <c r="BJ46" i="10"/>
  <c r="BI46" i="10"/>
  <c r="BH46" i="10"/>
  <c r="BG46" i="10"/>
  <c r="BF46" i="10"/>
  <c r="BE46" i="10"/>
  <c r="BD46" i="10"/>
  <c r="BC46" i="10"/>
  <c r="BB46" i="10"/>
  <c r="BA46" i="10"/>
  <c r="AZ46" i="10"/>
  <c r="AY46" i="10"/>
  <c r="AX46" i="10"/>
  <c r="AW46" i="10"/>
  <c r="AV46" i="10"/>
  <c r="AU46" i="10"/>
  <c r="AT46" i="10"/>
  <c r="AS46" i="10"/>
  <c r="AR46" i="10" s="1"/>
  <c r="BP45" i="10"/>
  <c r="BO45" i="10"/>
  <c r="BN45" i="10"/>
  <c r="BM45" i="10"/>
  <c r="BL45" i="10"/>
  <c r="BK45" i="10"/>
  <c r="BJ45" i="10"/>
  <c r="BI45" i="10"/>
  <c r="BH45" i="10"/>
  <c r="BG45" i="10"/>
  <c r="BF45" i="10"/>
  <c r="BE45" i="10"/>
  <c r="BD45" i="10"/>
  <c r="BC45" i="10"/>
  <c r="BB45" i="10"/>
  <c r="BA45" i="10"/>
  <c r="AZ45" i="10"/>
  <c r="AY45" i="10"/>
  <c r="AX45" i="10"/>
  <c r="AW45" i="10"/>
  <c r="AV45" i="10"/>
  <c r="AU45" i="10"/>
  <c r="AT45" i="10"/>
  <c r="AS45" i="10"/>
  <c r="AR45" i="10" s="1"/>
  <c r="BP44" i="10"/>
  <c r="BO44" i="10"/>
  <c r="BN44" i="10"/>
  <c r="BM44" i="10"/>
  <c r="BL44" i="10"/>
  <c r="BK44" i="10"/>
  <c r="BJ44" i="10"/>
  <c r="BI44" i="10"/>
  <c r="BH44" i="10"/>
  <c r="BG44" i="10"/>
  <c r="BF44" i="10"/>
  <c r="BE44" i="10"/>
  <c r="BD44" i="10"/>
  <c r="BC44" i="10"/>
  <c r="BB44" i="10"/>
  <c r="BA44" i="10"/>
  <c r="AZ44" i="10"/>
  <c r="AY44" i="10"/>
  <c r="AX44" i="10"/>
  <c r="AW44" i="10"/>
  <c r="AV44" i="10"/>
  <c r="AU44" i="10"/>
  <c r="AT44" i="10"/>
  <c r="AS44" i="10"/>
  <c r="AR44" i="10" s="1"/>
  <c r="BP43" i="10"/>
  <c r="BO43" i="10"/>
  <c r="BN43" i="10"/>
  <c r="BM43" i="10"/>
  <c r="BL43" i="10"/>
  <c r="BK43" i="10"/>
  <c r="BJ43" i="10"/>
  <c r="BI43" i="10"/>
  <c r="BH43" i="10"/>
  <c r="BG43" i="10"/>
  <c r="BF43" i="10"/>
  <c r="BE43" i="10"/>
  <c r="BD43" i="10"/>
  <c r="BC43" i="10"/>
  <c r="BB43" i="10"/>
  <c r="BA43" i="10"/>
  <c r="AZ43" i="10"/>
  <c r="AY43" i="10"/>
  <c r="AX43" i="10"/>
  <c r="AW43" i="10"/>
  <c r="AV43" i="10"/>
  <c r="AU43" i="10"/>
  <c r="AT43" i="10"/>
  <c r="AS43" i="10"/>
  <c r="AR43" i="10" s="1"/>
  <c r="BP42" i="10"/>
  <c r="BO42" i="10"/>
  <c r="BN42" i="10"/>
  <c r="BM42" i="10"/>
  <c r="BL42" i="10"/>
  <c r="BK42" i="10"/>
  <c r="BJ42" i="10"/>
  <c r="BI42" i="10"/>
  <c r="BH42" i="10"/>
  <c r="BG42" i="10"/>
  <c r="BF42" i="10"/>
  <c r="BE42" i="10"/>
  <c r="BD42" i="10"/>
  <c r="BC42" i="10"/>
  <c r="BB42" i="10"/>
  <c r="BA42" i="10"/>
  <c r="AZ42" i="10"/>
  <c r="AY42" i="10"/>
  <c r="AX42" i="10"/>
  <c r="AW42" i="10"/>
  <c r="AV42" i="10"/>
  <c r="AU42" i="10"/>
  <c r="AT42" i="10"/>
  <c r="AS42" i="10"/>
  <c r="AR42" i="10" s="1"/>
  <c r="BP41" i="10"/>
  <c r="BO41" i="10"/>
  <c r="BN41" i="10"/>
  <c r="BM41" i="10"/>
  <c r="BL41" i="10"/>
  <c r="BK41" i="10"/>
  <c r="BJ41" i="10"/>
  <c r="BI41" i="10"/>
  <c r="BH41" i="10"/>
  <c r="BG41" i="10"/>
  <c r="BF41" i="10"/>
  <c r="BE41" i="10"/>
  <c r="BD41" i="10"/>
  <c r="BC41" i="10"/>
  <c r="BB41" i="10"/>
  <c r="BA41" i="10"/>
  <c r="AZ41" i="10"/>
  <c r="AY41" i="10"/>
  <c r="AX41" i="10"/>
  <c r="AW41" i="10"/>
  <c r="AV41" i="10"/>
  <c r="AU41" i="10"/>
  <c r="AT41" i="10"/>
  <c r="AS41" i="10"/>
  <c r="AR41" i="10" s="1"/>
  <c r="BP40" i="10"/>
  <c r="BO40" i="10"/>
  <c r="BN40" i="10"/>
  <c r="BM40" i="10"/>
  <c r="BL40" i="10"/>
  <c r="BK40" i="10"/>
  <c r="BJ40" i="10"/>
  <c r="BI40" i="10"/>
  <c r="BH40" i="10"/>
  <c r="BG40" i="10"/>
  <c r="BF40" i="10"/>
  <c r="BE40" i="10"/>
  <c r="BD40" i="10"/>
  <c r="BC40" i="10"/>
  <c r="BB40" i="10"/>
  <c r="BA40" i="10"/>
  <c r="AZ40" i="10"/>
  <c r="AY40" i="10"/>
  <c r="AX40" i="10"/>
  <c r="AW40" i="10"/>
  <c r="AV40" i="10"/>
  <c r="AU40" i="10"/>
  <c r="AT40" i="10"/>
  <c r="AS40" i="10"/>
  <c r="AR40" i="10" s="1"/>
  <c r="BP39" i="10"/>
  <c r="BO39" i="10"/>
  <c r="BN39" i="10"/>
  <c r="BM39" i="10"/>
  <c r="BL39" i="10"/>
  <c r="BK39" i="10"/>
  <c r="BJ39" i="10"/>
  <c r="BI39" i="10"/>
  <c r="BH39" i="10"/>
  <c r="BG39" i="10"/>
  <c r="BF39" i="10"/>
  <c r="BE39" i="10"/>
  <c r="BD39" i="10"/>
  <c r="BC39" i="10"/>
  <c r="BB39" i="10"/>
  <c r="BA39" i="10"/>
  <c r="AZ39" i="10"/>
  <c r="AY39" i="10"/>
  <c r="AX39" i="10"/>
  <c r="AW39" i="10"/>
  <c r="AV39" i="10"/>
  <c r="AU39" i="10"/>
  <c r="AT39" i="10"/>
  <c r="AS39" i="10"/>
  <c r="AR39" i="10" s="1"/>
  <c r="BP38" i="10"/>
  <c r="BO38" i="10"/>
  <c r="BN38" i="10"/>
  <c r="BM38" i="10"/>
  <c r="BL38" i="10"/>
  <c r="BK38" i="10"/>
  <c r="BJ38" i="10"/>
  <c r="BI38" i="10"/>
  <c r="BH38" i="10"/>
  <c r="BG38" i="10"/>
  <c r="BF38" i="10"/>
  <c r="BE38" i="10"/>
  <c r="BD38" i="10"/>
  <c r="BC38" i="10"/>
  <c r="BB38" i="10"/>
  <c r="BA38" i="10"/>
  <c r="AZ38" i="10"/>
  <c r="AY38" i="10"/>
  <c r="AX38" i="10"/>
  <c r="AW38" i="10"/>
  <c r="AV38" i="10"/>
  <c r="AU38" i="10"/>
  <c r="AT38" i="10"/>
  <c r="AS38" i="10"/>
  <c r="AR38" i="10" s="1"/>
  <c r="BP37" i="10"/>
  <c r="BO37" i="10"/>
  <c r="BN37" i="10"/>
  <c r="BM37" i="10"/>
  <c r="BL37" i="10"/>
  <c r="BK37" i="10"/>
  <c r="BJ37" i="10"/>
  <c r="BI37" i="10"/>
  <c r="BH37" i="10"/>
  <c r="BG37" i="10"/>
  <c r="BF37" i="10"/>
  <c r="BE37" i="10"/>
  <c r="BD37" i="10"/>
  <c r="BC37" i="10"/>
  <c r="BB37" i="10"/>
  <c r="BA37" i="10"/>
  <c r="AZ37" i="10"/>
  <c r="AY37" i="10"/>
  <c r="AX37" i="10"/>
  <c r="AW37" i="10"/>
  <c r="AV37" i="10"/>
  <c r="AU37" i="10"/>
  <c r="AT37" i="10"/>
  <c r="AS37" i="10"/>
  <c r="AR37" i="10" s="1"/>
  <c r="BP36" i="10"/>
  <c r="BO36" i="10"/>
  <c r="BN36" i="10"/>
  <c r="BM36" i="10"/>
  <c r="BL36" i="10"/>
  <c r="BK36" i="10"/>
  <c r="BJ36" i="10"/>
  <c r="BI36" i="10"/>
  <c r="BH36" i="10"/>
  <c r="BG36" i="10"/>
  <c r="BF36" i="10"/>
  <c r="BE36" i="10"/>
  <c r="BD36" i="10"/>
  <c r="BC36" i="10"/>
  <c r="BB36" i="10"/>
  <c r="BA36" i="10"/>
  <c r="AZ36" i="10"/>
  <c r="AY36" i="10"/>
  <c r="AX36" i="10"/>
  <c r="AW36" i="10"/>
  <c r="AV36" i="10"/>
  <c r="AU36" i="10"/>
  <c r="AT36" i="10"/>
  <c r="AS36" i="10"/>
  <c r="AR36" i="10" s="1"/>
  <c r="BP35" i="10"/>
  <c r="BO35" i="10"/>
  <c r="BN35" i="10"/>
  <c r="BM35" i="10"/>
  <c r="BL35" i="10"/>
  <c r="BK35" i="10"/>
  <c r="BJ35" i="10"/>
  <c r="BI35" i="10"/>
  <c r="BH35" i="10"/>
  <c r="BG35" i="10"/>
  <c r="BF35" i="10"/>
  <c r="BE35" i="10"/>
  <c r="BD35" i="10"/>
  <c r="BC35" i="10"/>
  <c r="BB35" i="10"/>
  <c r="BA35" i="10"/>
  <c r="AZ35" i="10"/>
  <c r="AY35" i="10"/>
  <c r="AX35" i="10"/>
  <c r="AW35" i="10"/>
  <c r="AV35" i="10"/>
  <c r="AU35" i="10"/>
  <c r="AT35" i="10"/>
  <c r="AS35" i="10"/>
  <c r="AR35" i="10" s="1"/>
  <c r="BP34" i="10"/>
  <c r="BO34" i="10"/>
  <c r="BN34" i="10"/>
  <c r="BM34" i="10"/>
  <c r="BL34" i="10"/>
  <c r="BK34" i="10"/>
  <c r="BJ34" i="10"/>
  <c r="BI34" i="10"/>
  <c r="BH34" i="10"/>
  <c r="BG34" i="10"/>
  <c r="BF34" i="10"/>
  <c r="BE34" i="10"/>
  <c r="BD34" i="10"/>
  <c r="BC34" i="10"/>
  <c r="BB34" i="10"/>
  <c r="BA34" i="10"/>
  <c r="AZ34" i="10"/>
  <c r="AY34" i="10"/>
  <c r="AX34" i="10"/>
  <c r="AW34" i="10"/>
  <c r="AV34" i="10"/>
  <c r="AU34" i="10"/>
  <c r="AT34" i="10"/>
  <c r="AS34" i="10"/>
  <c r="AR34" i="10" s="1"/>
  <c r="BP33" i="10"/>
  <c r="BO33" i="10"/>
  <c r="BN33" i="10"/>
  <c r="BM33" i="10"/>
  <c r="BL33" i="10"/>
  <c r="BK33" i="10"/>
  <c r="BJ33" i="10"/>
  <c r="BI33" i="10"/>
  <c r="BH33" i="10"/>
  <c r="BG33" i="10"/>
  <c r="BF33" i="10"/>
  <c r="BE33" i="10"/>
  <c r="BD33" i="10"/>
  <c r="BC33" i="10"/>
  <c r="BB33" i="10"/>
  <c r="BA33" i="10"/>
  <c r="AZ33" i="10"/>
  <c r="AY33" i="10"/>
  <c r="AX33" i="10"/>
  <c r="AW33" i="10"/>
  <c r="AV33" i="10"/>
  <c r="AU33" i="10"/>
  <c r="AT33" i="10"/>
  <c r="AS33" i="10"/>
  <c r="AR33" i="10" s="1"/>
  <c r="BP32" i="10"/>
  <c r="BO32" i="10"/>
  <c r="BN32" i="10"/>
  <c r="BM32" i="10"/>
  <c r="BL32" i="10"/>
  <c r="BK32" i="10"/>
  <c r="BJ32" i="10"/>
  <c r="BI32" i="10"/>
  <c r="BH32" i="10"/>
  <c r="BG32" i="10"/>
  <c r="BF32" i="10"/>
  <c r="BE32" i="10"/>
  <c r="BD32" i="10"/>
  <c r="BC32" i="10"/>
  <c r="BB32" i="10"/>
  <c r="BA32" i="10"/>
  <c r="AZ32" i="10"/>
  <c r="AY32" i="10"/>
  <c r="AX32" i="10"/>
  <c r="AW32" i="10"/>
  <c r="AV32" i="10"/>
  <c r="AU32" i="10"/>
  <c r="AT32" i="10"/>
  <c r="AS32" i="10"/>
  <c r="AR32" i="10" s="1"/>
  <c r="BP31" i="10"/>
  <c r="BO31" i="10"/>
  <c r="BN31" i="10"/>
  <c r="BM31" i="10"/>
  <c r="BL31" i="10"/>
  <c r="BK31" i="10"/>
  <c r="BJ31" i="10"/>
  <c r="BI31" i="10"/>
  <c r="BH31" i="10"/>
  <c r="BG31" i="10"/>
  <c r="BF31" i="10"/>
  <c r="BE31" i="10"/>
  <c r="BD31" i="10"/>
  <c r="BC31" i="10"/>
  <c r="BB31" i="10"/>
  <c r="BA31" i="10"/>
  <c r="AZ31" i="10"/>
  <c r="AY31" i="10"/>
  <c r="AX31" i="10"/>
  <c r="AW31" i="10"/>
  <c r="AV31" i="10"/>
  <c r="AU31" i="10"/>
  <c r="AT31" i="10"/>
  <c r="AS31" i="10"/>
  <c r="AR31" i="10" s="1"/>
  <c r="BP30" i="10"/>
  <c r="BO30" i="10"/>
  <c r="BN30" i="10"/>
  <c r="BM30" i="10"/>
  <c r="BL30" i="10"/>
  <c r="BK30" i="10"/>
  <c r="BJ30" i="10"/>
  <c r="BI30" i="10"/>
  <c r="BH30" i="10"/>
  <c r="BG30" i="10"/>
  <c r="BF30" i="10"/>
  <c r="BE30" i="10"/>
  <c r="BD30" i="10"/>
  <c r="BC30" i="10"/>
  <c r="BB30" i="10"/>
  <c r="BA30" i="10"/>
  <c r="AZ30" i="10"/>
  <c r="AY30" i="10"/>
  <c r="AX30" i="10"/>
  <c r="AW30" i="10"/>
  <c r="AV30" i="10"/>
  <c r="AU30" i="10"/>
  <c r="AT30" i="10"/>
  <c r="AS30" i="10"/>
  <c r="AR30" i="10" s="1"/>
  <c r="BP29" i="10"/>
  <c r="BO29" i="10"/>
  <c r="BN29" i="10"/>
  <c r="BM29" i="10"/>
  <c r="BL29" i="10"/>
  <c r="BK29" i="10"/>
  <c r="BJ29" i="10"/>
  <c r="BI29" i="10"/>
  <c r="BH29" i="10"/>
  <c r="BG29" i="10"/>
  <c r="BF29" i="10"/>
  <c r="BE29" i="10"/>
  <c r="BD29" i="10"/>
  <c r="BC29" i="10"/>
  <c r="BB29" i="10"/>
  <c r="BA29" i="10"/>
  <c r="AZ29" i="10"/>
  <c r="AY29" i="10"/>
  <c r="AX29" i="10"/>
  <c r="AW29" i="10"/>
  <c r="AV29" i="10"/>
  <c r="AU29" i="10"/>
  <c r="AT29" i="10"/>
  <c r="AS29" i="10"/>
  <c r="AR29" i="10" s="1"/>
  <c r="BP28" i="10"/>
  <c r="BO28" i="10"/>
  <c r="BN28" i="10"/>
  <c r="BM28" i="10"/>
  <c r="BL28" i="10"/>
  <c r="BK28" i="10"/>
  <c r="BJ28" i="10"/>
  <c r="BI28" i="10"/>
  <c r="BH28" i="10"/>
  <c r="BG28" i="10"/>
  <c r="BF28" i="10"/>
  <c r="BE28" i="10"/>
  <c r="BD28" i="10"/>
  <c r="BC28" i="10"/>
  <c r="BB28" i="10"/>
  <c r="BA28" i="10"/>
  <c r="AZ28" i="10"/>
  <c r="AY28" i="10"/>
  <c r="AX28" i="10"/>
  <c r="AW28" i="10"/>
  <c r="AV28" i="10"/>
  <c r="AU28" i="10"/>
  <c r="AT28" i="10"/>
  <c r="AS28" i="10"/>
  <c r="AR28" i="10" s="1"/>
  <c r="BP27" i="10"/>
  <c r="BO27" i="10"/>
  <c r="BN27" i="10"/>
  <c r="BM27" i="10"/>
  <c r="BL27" i="10"/>
  <c r="BK27" i="10"/>
  <c r="BJ27" i="10"/>
  <c r="BI27" i="10"/>
  <c r="BH27" i="10"/>
  <c r="BG27" i="10"/>
  <c r="BF27" i="10"/>
  <c r="BE27" i="10"/>
  <c r="BD27" i="10"/>
  <c r="BC27" i="10"/>
  <c r="BB27" i="10"/>
  <c r="BA27" i="10"/>
  <c r="AZ27" i="10"/>
  <c r="AY27" i="10"/>
  <c r="AX27" i="10"/>
  <c r="AW27" i="10"/>
  <c r="AV27" i="10"/>
  <c r="AU27" i="10"/>
  <c r="AT27" i="10"/>
  <c r="AS27" i="10"/>
  <c r="AR27" i="10" s="1"/>
  <c r="BP26" i="10"/>
  <c r="BO26" i="10"/>
  <c r="BN26" i="10"/>
  <c r="BM26" i="10"/>
  <c r="BL26" i="10"/>
  <c r="BK26" i="10"/>
  <c r="BJ26" i="10"/>
  <c r="BI26" i="10"/>
  <c r="BH26" i="10"/>
  <c r="BG26" i="10"/>
  <c r="BF26" i="10"/>
  <c r="BE26" i="10"/>
  <c r="BD26" i="10"/>
  <c r="BC26" i="10"/>
  <c r="BB26" i="10"/>
  <c r="BA26" i="10"/>
  <c r="AZ26" i="10"/>
  <c r="AY26" i="10"/>
  <c r="AX26" i="10"/>
  <c r="AW26" i="10"/>
  <c r="AV26" i="10"/>
  <c r="AU26" i="10"/>
  <c r="AT26" i="10"/>
  <c r="AS26" i="10"/>
  <c r="AR26" i="10" s="1"/>
  <c r="BP25" i="10"/>
  <c r="BO25" i="10"/>
  <c r="BN25" i="10"/>
  <c r="BM25" i="10"/>
  <c r="BL25" i="10"/>
  <c r="BK25" i="10"/>
  <c r="BJ25" i="10"/>
  <c r="BI25" i="10"/>
  <c r="BH25" i="10"/>
  <c r="BG25" i="10"/>
  <c r="BF25" i="10"/>
  <c r="BE25" i="10"/>
  <c r="BD25" i="10"/>
  <c r="BC25" i="10"/>
  <c r="BB25" i="10"/>
  <c r="BA25" i="10"/>
  <c r="AZ25" i="10"/>
  <c r="AY25" i="10"/>
  <c r="AX25" i="10"/>
  <c r="AW25" i="10"/>
  <c r="AV25" i="10"/>
  <c r="AU25" i="10"/>
  <c r="AT25" i="10"/>
  <c r="AS25" i="10"/>
  <c r="AR25" i="10" s="1"/>
  <c r="BP24" i="10"/>
  <c r="BO24" i="10"/>
  <c r="BN24" i="10"/>
  <c r="BM24" i="10"/>
  <c r="BL24" i="10"/>
  <c r="BK24" i="10"/>
  <c r="BJ24" i="10"/>
  <c r="BI24" i="10"/>
  <c r="BH24" i="10"/>
  <c r="BG24" i="10"/>
  <c r="BF24" i="10"/>
  <c r="BE24" i="10"/>
  <c r="BD24" i="10"/>
  <c r="BC24" i="10"/>
  <c r="BB24" i="10"/>
  <c r="BA24" i="10"/>
  <c r="AZ24" i="10"/>
  <c r="AY24" i="10"/>
  <c r="AX24" i="10"/>
  <c r="AW24" i="10"/>
  <c r="AV24" i="10"/>
  <c r="AU24" i="10"/>
  <c r="AT24" i="10"/>
  <c r="AS24" i="10"/>
  <c r="AR24" i="10" s="1"/>
  <c r="BP23" i="10"/>
  <c r="BO23" i="10"/>
  <c r="BN23" i="10"/>
  <c r="BM23" i="10"/>
  <c r="BL23" i="10"/>
  <c r="BK23" i="10"/>
  <c r="BJ23" i="10"/>
  <c r="BI23" i="10"/>
  <c r="BH23" i="10"/>
  <c r="BG23" i="10"/>
  <c r="BF23" i="10"/>
  <c r="BE23" i="10"/>
  <c r="BD23" i="10"/>
  <c r="BC23" i="10"/>
  <c r="BB23" i="10"/>
  <c r="BA23" i="10"/>
  <c r="AZ23" i="10"/>
  <c r="AY23" i="10"/>
  <c r="AX23" i="10"/>
  <c r="AW23" i="10"/>
  <c r="AV23" i="10"/>
  <c r="AU23" i="10"/>
  <c r="AT23" i="10"/>
  <c r="AS23" i="10"/>
  <c r="AR23" i="10" s="1"/>
  <c r="BP22" i="10"/>
  <c r="BO22" i="10"/>
  <c r="BN22" i="10"/>
  <c r="BM22" i="10"/>
  <c r="BL22" i="10"/>
  <c r="BK22" i="10"/>
  <c r="BJ22" i="10"/>
  <c r="BI22" i="10"/>
  <c r="BH22" i="10"/>
  <c r="BG22" i="10"/>
  <c r="BF22" i="10"/>
  <c r="BE22" i="10"/>
  <c r="BD22" i="10"/>
  <c r="BC22" i="10"/>
  <c r="BB22" i="10"/>
  <c r="BA22" i="10"/>
  <c r="AZ22" i="10"/>
  <c r="AY22" i="10"/>
  <c r="AX22" i="10"/>
  <c r="AW22" i="10"/>
  <c r="AV22" i="10"/>
  <c r="AU22" i="10"/>
  <c r="AT22" i="10"/>
  <c r="AS22" i="10"/>
  <c r="AR22" i="10" s="1"/>
  <c r="BP21" i="10"/>
  <c r="BO21" i="10"/>
  <c r="BN21" i="10"/>
  <c r="BM21" i="10"/>
  <c r="BL21" i="10"/>
  <c r="BK21" i="10"/>
  <c r="BJ21" i="10"/>
  <c r="BI21" i="10"/>
  <c r="BH21" i="10"/>
  <c r="BG21" i="10"/>
  <c r="BF21" i="10"/>
  <c r="BE21" i="10"/>
  <c r="BD21" i="10"/>
  <c r="BC21" i="10"/>
  <c r="BB21" i="10"/>
  <c r="BA21" i="10"/>
  <c r="AZ21" i="10"/>
  <c r="AY21" i="10"/>
  <c r="AX21" i="10"/>
  <c r="AW21" i="10"/>
  <c r="AV21" i="10"/>
  <c r="AU21" i="10"/>
  <c r="AT21" i="10"/>
  <c r="AS21" i="10"/>
  <c r="AR21" i="10" s="1"/>
  <c r="BP20" i="10"/>
  <c r="BO20" i="10"/>
  <c r="BN20" i="10"/>
  <c r="BM20" i="10"/>
  <c r="BL20" i="10"/>
  <c r="BK20" i="10"/>
  <c r="BJ20" i="10"/>
  <c r="BI20" i="10"/>
  <c r="BH20" i="10"/>
  <c r="BG20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 s="1"/>
  <c r="BP19" i="10"/>
  <c r="BO19" i="10"/>
  <c r="BN19" i="10"/>
  <c r="BM19" i="10"/>
  <c r="BL19" i="10"/>
  <c r="BK19" i="10"/>
  <c r="BJ19" i="10"/>
  <c r="BI19" i="10"/>
  <c r="BH19" i="10"/>
  <c r="BG19" i="10"/>
  <c r="BF19" i="10"/>
  <c r="BE19" i="10"/>
  <c r="BD19" i="10"/>
  <c r="BC19" i="10"/>
  <c r="BB19" i="10"/>
  <c r="BA19" i="10"/>
  <c r="AZ19" i="10"/>
  <c r="AY19" i="10"/>
  <c r="AX19" i="10"/>
  <c r="AW19" i="10"/>
  <c r="AV19" i="10"/>
  <c r="AU19" i="10"/>
  <c r="AT19" i="10"/>
  <c r="AS19" i="10"/>
  <c r="AR19" i="10" s="1"/>
  <c r="BP18" i="10"/>
  <c r="BO18" i="10"/>
  <c r="BN18" i="10"/>
  <c r="BM18" i="10"/>
  <c r="BL18" i="10"/>
  <c r="BK18" i="10"/>
  <c r="BJ18" i="10"/>
  <c r="BI18" i="10"/>
  <c r="BH18" i="10"/>
  <c r="BG18" i="10"/>
  <c r="BF18" i="10"/>
  <c r="BE18" i="10"/>
  <c r="BD18" i="10"/>
  <c r="BC18" i="10"/>
  <c r="BB18" i="10"/>
  <c r="BA18" i="10"/>
  <c r="AZ18" i="10"/>
  <c r="AY18" i="10"/>
  <c r="AX18" i="10"/>
  <c r="AW18" i="10"/>
  <c r="AV18" i="10"/>
  <c r="AU18" i="10"/>
  <c r="AT18" i="10"/>
  <c r="AS18" i="10"/>
  <c r="AR18" i="10" s="1"/>
  <c r="BP17" i="10"/>
  <c r="BO17" i="10"/>
  <c r="BN17" i="10"/>
  <c r="BM17" i="10"/>
  <c r="BL17" i="10"/>
  <c r="BK17" i="10"/>
  <c r="BJ17" i="10"/>
  <c r="BI17" i="10"/>
  <c r="BH17" i="10"/>
  <c r="BG17" i="10"/>
  <c r="BF17" i="10"/>
  <c r="BE17" i="10"/>
  <c r="BD17" i="10"/>
  <c r="BC17" i="10"/>
  <c r="BB17" i="10"/>
  <c r="BA17" i="10"/>
  <c r="AZ17" i="10"/>
  <c r="AY17" i="10"/>
  <c r="AX17" i="10"/>
  <c r="AW17" i="10"/>
  <c r="AV17" i="10"/>
  <c r="AU17" i="10"/>
  <c r="AT17" i="10"/>
  <c r="AS17" i="10"/>
  <c r="AR17" i="10" s="1"/>
  <c r="BP16" i="10"/>
  <c r="BO16" i="10"/>
  <c r="BN16" i="10"/>
  <c r="BM16" i="10"/>
  <c r="BL16" i="10"/>
  <c r="BK16" i="10"/>
  <c r="BJ16" i="10"/>
  <c r="BI16" i="10"/>
  <c r="BH16" i="10"/>
  <c r="BG16" i="10"/>
  <c r="BF16" i="10"/>
  <c r="BE16" i="10"/>
  <c r="BD16" i="10"/>
  <c r="BC16" i="10"/>
  <c r="BB16" i="10"/>
  <c r="BA16" i="10"/>
  <c r="AZ16" i="10"/>
  <c r="AY16" i="10"/>
  <c r="AX16" i="10"/>
  <c r="AW16" i="10"/>
  <c r="AV16" i="10"/>
  <c r="AU16" i="10"/>
  <c r="AT16" i="10"/>
  <c r="AS16" i="10"/>
  <c r="AR16" i="10" s="1"/>
  <c r="BP15" i="10"/>
  <c r="BO15" i="10"/>
  <c r="BN15" i="10"/>
  <c r="BM15" i="10"/>
  <c r="BL15" i="10"/>
  <c r="BK15" i="10"/>
  <c r="BJ15" i="10"/>
  <c r="BI15" i="10"/>
  <c r="BH15" i="10"/>
  <c r="BG15" i="10"/>
  <c r="BF15" i="10"/>
  <c r="BE15" i="10"/>
  <c r="BD15" i="10"/>
  <c r="BC15" i="10"/>
  <c r="BB15" i="10"/>
  <c r="BA15" i="10"/>
  <c r="AZ15" i="10"/>
  <c r="AY15" i="10"/>
  <c r="AX15" i="10"/>
  <c r="AW15" i="10"/>
  <c r="AV15" i="10"/>
  <c r="AU15" i="10"/>
  <c r="AT15" i="10"/>
  <c r="AS15" i="10"/>
  <c r="AR15" i="10" s="1"/>
  <c r="BP14" i="10"/>
  <c r="BO14" i="10"/>
  <c r="BN14" i="10"/>
  <c r="BM14" i="10"/>
  <c r="BL14" i="10"/>
  <c r="BK14" i="10"/>
  <c r="BJ14" i="10"/>
  <c r="BI14" i="10"/>
  <c r="BH14" i="10"/>
  <c r="BG14" i="10"/>
  <c r="BF14" i="10"/>
  <c r="BE14" i="10"/>
  <c r="BD14" i="10"/>
  <c r="BC14" i="10"/>
  <c r="BB14" i="10"/>
  <c r="BA14" i="10"/>
  <c r="AZ14" i="10"/>
  <c r="AY14" i="10"/>
  <c r="AX14" i="10"/>
  <c r="AW14" i="10"/>
  <c r="AV14" i="10"/>
  <c r="AU14" i="10"/>
  <c r="AT14" i="10"/>
  <c r="AS14" i="10"/>
  <c r="AR14" i="10" s="1"/>
  <c r="BP13" i="10"/>
  <c r="BO13" i="10"/>
  <c r="BN13" i="10"/>
  <c r="BM13" i="10"/>
  <c r="BL13" i="10"/>
  <c r="BK13" i="10"/>
  <c r="BJ13" i="10"/>
  <c r="BI13" i="10"/>
  <c r="BH13" i="10"/>
  <c r="BG13" i="10"/>
  <c r="BF13" i="10"/>
  <c r="BE13" i="10"/>
  <c r="BD13" i="10"/>
  <c r="BC13" i="10"/>
  <c r="BB13" i="10"/>
  <c r="BA13" i="10"/>
  <c r="AZ13" i="10"/>
  <c r="AY13" i="10"/>
  <c r="AX13" i="10"/>
  <c r="AW13" i="10"/>
  <c r="AV13" i="10"/>
  <c r="AU13" i="10"/>
  <c r="AT13" i="10"/>
  <c r="AS13" i="10"/>
  <c r="AR13" i="10" s="1"/>
  <c r="BP12" i="10"/>
  <c r="BO12" i="10"/>
  <c r="BN12" i="10"/>
  <c r="BM12" i="10"/>
  <c r="BL12" i="10"/>
  <c r="BK12" i="10"/>
  <c r="BJ12" i="10"/>
  <c r="BI12" i="10"/>
  <c r="BH12" i="10"/>
  <c r="BG12" i="10"/>
  <c r="BF12" i="10"/>
  <c r="BE12" i="10"/>
  <c r="BD12" i="10"/>
  <c r="BC12" i="10"/>
  <c r="BB12" i="10"/>
  <c r="BA12" i="10"/>
  <c r="AZ12" i="10"/>
  <c r="AY12" i="10"/>
  <c r="AX12" i="10"/>
  <c r="AW12" i="10"/>
  <c r="AV12" i="10"/>
  <c r="AU12" i="10"/>
  <c r="AT12" i="10"/>
  <c r="AS12" i="10"/>
  <c r="AR12" i="10" s="1"/>
  <c r="BP11" i="10"/>
  <c r="BO11" i="10"/>
  <c r="BN11" i="10"/>
  <c r="BM11" i="10"/>
  <c r="BL11" i="10"/>
  <c r="BK11" i="10"/>
  <c r="BJ11" i="10"/>
  <c r="BI11" i="10"/>
  <c r="BH11" i="10"/>
  <c r="BG11" i="10"/>
  <c r="BF11" i="10"/>
  <c r="BE11" i="10"/>
  <c r="BD11" i="10"/>
  <c r="BC11" i="10"/>
  <c r="BB11" i="10"/>
  <c r="BA11" i="10"/>
  <c r="AZ11" i="10"/>
  <c r="AY11" i="10"/>
  <c r="AX11" i="10"/>
  <c r="AW11" i="10"/>
  <c r="AV11" i="10"/>
  <c r="AU11" i="10"/>
  <c r="AT11" i="10"/>
  <c r="AS11" i="10"/>
  <c r="AR11" i="10" s="1"/>
  <c r="BP10" i="10"/>
  <c r="BO10" i="10"/>
  <c r="BN10" i="10"/>
  <c r="BM10" i="10"/>
  <c r="BL10" i="10"/>
  <c r="BK10" i="10"/>
  <c r="BJ10" i="10"/>
  <c r="BI10" i="10"/>
  <c r="BH10" i="10"/>
  <c r="BG10" i="10"/>
  <c r="BF10" i="10"/>
  <c r="BE10" i="10"/>
  <c r="BD10" i="10"/>
  <c r="BC10" i="10"/>
  <c r="BB10" i="10"/>
  <c r="BA10" i="10"/>
  <c r="AZ10" i="10"/>
  <c r="AY10" i="10"/>
  <c r="AX10" i="10"/>
  <c r="AW10" i="10"/>
  <c r="AV10" i="10"/>
  <c r="AU10" i="10"/>
  <c r="AT10" i="10"/>
  <c r="AS10" i="10"/>
  <c r="AR10" i="10" s="1"/>
  <c r="BP9" i="10"/>
  <c r="BO9" i="10"/>
  <c r="BN9" i="10"/>
  <c r="BM9" i="10"/>
  <c r="BL9" i="10"/>
  <c r="BK9" i="10"/>
  <c r="BJ9" i="10"/>
  <c r="BI9" i="10"/>
  <c r="BH9" i="10"/>
  <c r="BG9" i="10"/>
  <c r="BF9" i="10"/>
  <c r="BE9" i="10"/>
  <c r="BD9" i="10"/>
  <c r="BC9" i="10"/>
  <c r="BB9" i="10"/>
  <c r="BA9" i="10"/>
  <c r="AZ9" i="10"/>
  <c r="AY9" i="10"/>
  <c r="AX9" i="10"/>
  <c r="AW9" i="10"/>
  <c r="AV9" i="10"/>
  <c r="AU9" i="10"/>
  <c r="AT9" i="10"/>
  <c r="AS9" i="10"/>
  <c r="BP8" i="10"/>
  <c r="BO8" i="10"/>
  <c r="BN8" i="10"/>
  <c r="BM8" i="10"/>
  <c r="BL8" i="10"/>
  <c r="BK8" i="10"/>
  <c r="BJ8" i="10"/>
  <c r="BI8" i="10"/>
  <c r="BH8" i="10"/>
  <c r="BG8" i="10"/>
  <c r="BF8" i="10"/>
  <c r="BE8" i="10"/>
  <c r="BD8" i="10"/>
  <c r="BC8" i="10"/>
  <c r="BB8" i="10"/>
  <c r="BA8" i="10"/>
  <c r="AZ8" i="10"/>
  <c r="AY8" i="10"/>
  <c r="AX8" i="10"/>
  <c r="AW8" i="10"/>
  <c r="AV8" i="10"/>
  <c r="AU8" i="10"/>
  <c r="AT8" i="10"/>
  <c r="AS8" i="10"/>
  <c r="AR8" i="10" s="1"/>
  <c r="BP7" i="10"/>
  <c r="BO7" i="10"/>
  <c r="BN7" i="10"/>
  <c r="BM7" i="10"/>
  <c r="BL7" i="10"/>
  <c r="BK7" i="10"/>
  <c r="BJ7" i="10"/>
  <c r="BI7" i="10"/>
  <c r="BH7" i="10"/>
  <c r="BG7" i="10"/>
  <c r="BF7" i="10"/>
  <c r="BE7" i="10"/>
  <c r="BD7" i="10"/>
  <c r="BC7" i="10"/>
  <c r="BB7" i="10"/>
  <c r="BA7" i="10"/>
  <c r="AZ7" i="10"/>
  <c r="AY7" i="10"/>
  <c r="AX7" i="10"/>
  <c r="AW7" i="10"/>
  <c r="AV7" i="10"/>
  <c r="AU7" i="10"/>
  <c r="AT7" i="10"/>
  <c r="AS7" i="10"/>
  <c r="AR7" i="10" s="1"/>
  <c r="BP6" i="10"/>
  <c r="BO6" i="10"/>
  <c r="BN6" i="10"/>
  <c r="BM6" i="10"/>
  <c r="BL6" i="10"/>
  <c r="BK6" i="10"/>
  <c r="BJ6" i="10"/>
  <c r="BI6" i="10"/>
  <c r="BH6" i="10"/>
  <c r="BG6" i="10"/>
  <c r="BF6" i="10"/>
  <c r="BE6" i="10"/>
  <c r="BD6" i="10"/>
  <c r="BC6" i="10"/>
  <c r="BB6" i="10"/>
  <c r="BA6" i="10"/>
  <c r="AZ6" i="10"/>
  <c r="AY6" i="10"/>
  <c r="AX6" i="10"/>
  <c r="AW6" i="10"/>
  <c r="AV6" i="10"/>
  <c r="AU6" i="10"/>
  <c r="AT6" i="10"/>
  <c r="AS6" i="10"/>
  <c r="BP5" i="10"/>
  <c r="BO5" i="10"/>
  <c r="BN5" i="10"/>
  <c r="BM5" i="10"/>
  <c r="BL5" i="10"/>
  <c r="BK5" i="10"/>
  <c r="BJ5" i="10"/>
  <c r="BI5" i="10"/>
  <c r="BH5" i="10"/>
  <c r="BG5" i="10"/>
  <c r="BF5" i="10"/>
  <c r="BE5" i="10"/>
  <c r="BD5" i="10"/>
  <c r="BC5" i="10"/>
  <c r="BB5" i="10"/>
  <c r="BA5" i="10"/>
  <c r="AZ5" i="10"/>
  <c r="AY5" i="10"/>
  <c r="AX5" i="10"/>
  <c r="AW5" i="10"/>
  <c r="AV5" i="10"/>
  <c r="AU5" i="10"/>
  <c r="AT5" i="10"/>
  <c r="AS5" i="10"/>
  <c r="BP4" i="10"/>
  <c r="BO4" i="10"/>
  <c r="BN4" i="10"/>
  <c r="BM4" i="10"/>
  <c r="BL4" i="10"/>
  <c r="BK4" i="10"/>
  <c r="BJ4" i="10"/>
  <c r="BI4" i="10"/>
  <c r="BH4" i="10"/>
  <c r="BG4" i="10"/>
  <c r="BF4" i="10"/>
  <c r="BE4" i="10"/>
  <c r="BD4" i="10"/>
  <c r="BC4" i="10"/>
  <c r="BB4" i="10"/>
  <c r="BA4" i="10"/>
  <c r="AZ4" i="10"/>
  <c r="AY4" i="10"/>
  <c r="AX4" i="10"/>
  <c r="AW4" i="10"/>
  <c r="AV4" i="10"/>
  <c r="AU4" i="10"/>
  <c r="AT4" i="10"/>
  <c r="AS4" i="10"/>
  <c r="BP3" i="10"/>
  <c r="BO3" i="10"/>
  <c r="BN3" i="10"/>
  <c r="BM3" i="10"/>
  <c r="BL3" i="10"/>
  <c r="BK3" i="10"/>
  <c r="BJ3" i="10"/>
  <c r="BI3" i="10"/>
  <c r="BH3" i="10"/>
  <c r="BG3" i="10"/>
  <c r="BF3" i="10"/>
  <c r="BE3" i="10"/>
  <c r="BD3" i="10"/>
  <c r="BC3" i="10"/>
  <c r="BB3" i="10"/>
  <c r="BA3" i="10"/>
  <c r="AZ3" i="10"/>
  <c r="AY3" i="10"/>
  <c r="AX3" i="10"/>
  <c r="AW3" i="10"/>
  <c r="AV3" i="10"/>
  <c r="AU3" i="10"/>
  <c r="AT3" i="10"/>
  <c r="AS3" i="10"/>
  <c r="BP2" i="10"/>
  <c r="BO2" i="10"/>
  <c r="BN2" i="10"/>
  <c r="BM2" i="10"/>
  <c r="BL2" i="10"/>
  <c r="BK2" i="10"/>
  <c r="BJ2" i="10"/>
  <c r="BI2" i="10"/>
  <c r="BH2" i="10"/>
  <c r="BG2" i="10"/>
  <c r="BF2" i="10"/>
  <c r="BE2" i="10"/>
  <c r="BD2" i="10"/>
  <c r="BC2" i="10"/>
  <c r="BB2" i="10"/>
  <c r="BA2" i="10"/>
  <c r="AZ2" i="10"/>
  <c r="AY2" i="10"/>
  <c r="AX2" i="10"/>
  <c r="AW2" i="10"/>
  <c r="AV2" i="10"/>
  <c r="AU2" i="10"/>
  <c r="AT2" i="10"/>
  <c r="AS2" i="10"/>
  <c r="BP1" i="10"/>
  <c r="BO1" i="10"/>
  <c r="BN1" i="10"/>
  <c r="BM1" i="10"/>
  <c r="BL1" i="10"/>
  <c r="BK1" i="10"/>
  <c r="BJ1" i="10"/>
  <c r="BI1" i="10"/>
  <c r="BH1" i="10"/>
  <c r="BG1" i="10"/>
  <c r="BF1" i="10"/>
  <c r="BE1" i="10"/>
  <c r="BD1" i="10"/>
  <c r="BC1" i="10"/>
  <c r="BB1" i="10"/>
  <c r="BA1" i="10"/>
  <c r="R8" i="10" s="1"/>
  <c r="S8" i="10" s="1"/>
  <c r="AZ1" i="10"/>
  <c r="AY1" i="10"/>
  <c r="AX1" i="10"/>
  <c r="AW1" i="10"/>
  <c r="AV1" i="10"/>
  <c r="AU1" i="10"/>
  <c r="AT1" i="10"/>
  <c r="AR2" i="10" l="1"/>
  <c r="AR3" i="10"/>
  <c r="AR4" i="10"/>
  <c r="AR5" i="10"/>
  <c r="AR9" i="10"/>
  <c r="AR6" i="10"/>
  <c r="R6" i="10"/>
  <c r="S6" i="10" s="1"/>
  <c r="V5" i="10" s="1"/>
  <c r="R4" i="10"/>
  <c r="S4" i="10" s="1"/>
  <c r="V6" i="10"/>
  <c r="R3" i="10"/>
  <c r="S3" i="10" s="1"/>
  <c r="R7" i="10"/>
  <c r="S7" i="10" s="1"/>
  <c r="J9" i="10"/>
  <c r="J8" i="10"/>
  <c r="J7" i="10"/>
  <c r="J6" i="10"/>
  <c r="J5" i="10"/>
  <c r="J4" i="10"/>
  <c r="J3" i="10"/>
  <c r="AS1" i="10"/>
  <c r="N6" i="10" l="1"/>
  <c r="O6" i="10" s="1"/>
  <c r="AR1" i="10"/>
  <c r="J14" i="10"/>
  <c r="S5" i="10"/>
  <c r="B4" i="10"/>
  <c r="C4" i="10" s="1"/>
  <c r="G10" i="10"/>
  <c r="K9" i="10"/>
  <c r="G9" i="10"/>
  <c r="K8" i="10"/>
  <c r="G8" i="10"/>
  <c r="K7" i="10"/>
  <c r="G7" i="10"/>
  <c r="K6" i="10"/>
  <c r="G6" i="10"/>
  <c r="N5" i="10"/>
  <c r="O5" i="10" s="1"/>
  <c r="K5" i="10"/>
  <c r="G5" i="10"/>
  <c r="B10" i="10"/>
  <c r="C10" i="10" s="1"/>
  <c r="N4" i="10"/>
  <c r="O4" i="10" s="1"/>
  <c r="K4" i="10"/>
  <c r="F3" i="10"/>
  <c r="G3" i="10" s="1"/>
  <c r="B5" i="10"/>
  <c r="K3" i="10"/>
  <c r="B12" i="10"/>
  <c r="C12" i="10" s="1"/>
  <c r="B15" i="10"/>
  <c r="C15" i="10" s="1"/>
  <c r="J13" i="10" l="1"/>
  <c r="J12" i="10"/>
  <c r="J11" i="10"/>
  <c r="C5" i="10"/>
  <c r="B11" i="10"/>
  <c r="C11" i="10" s="1"/>
  <c r="B9" i="10"/>
  <c r="C9" i="10" s="1"/>
  <c r="N3" i="10"/>
  <c r="O3" i="10" s="1"/>
  <c r="B7" i="10"/>
  <c r="C7" i="10" s="1"/>
  <c r="B13" i="10"/>
  <c r="C13" i="10" s="1"/>
  <c r="B6" i="10"/>
  <c r="C6" i="10" s="1"/>
  <c r="B14" i="10"/>
  <c r="C14" i="10" s="1"/>
  <c r="B8" i="10"/>
  <c r="C8" i="10" s="1"/>
  <c r="G4" i="10"/>
  <c r="V4" i="10" l="1"/>
  <c r="V7" i="10" s="1"/>
  <c r="B3" i="10"/>
  <c r="C3" i="10" s="1"/>
  <c r="V3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tmuk105user</author>
  </authors>
  <commentList>
    <comment ref="AR1" authorId="0" shapeId="0" xr:uid="{00000000-0006-0000-0800-000001000000}">
      <text>
        <r>
          <rPr>
            <b/>
            <sz val="9"/>
            <color indexed="81"/>
            <rFont val="MS P ゴシック"/>
            <family val="3"/>
            <charset val="128"/>
          </rPr>
          <t>費用項目判定</t>
        </r>
      </text>
    </comment>
    <comment ref="B4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◎各部分の詳細
1. MATCH(TRUE, INDEX(AS:AS="", 0), 0) - 1
　AS列の中で最初に空白のセルが出てくる行番号を取得し、そこから1つ前の行までを範囲にするために使っています。
　これにより、T列が連続してデータが入っている行までの範囲が動的に設定されます。
2. INDEX(BA:BA, MATCH(TRUE, INDEX(AS:AS="", 0), 0) - 1)
　BA列の「1行目から最初の空白セルの手前の行まで」を指定しています。この範囲が後続の COUNTIFS 関数で判定される範囲になります。
◎最初の COUNTIFS
COUNTIFS(BA1:INDEX(BA:BA, MATCH(TRUE, INDEX(AS:AS="", 0), 0) - 1), "&lt;&gt;TM4D",　等
この COUNTIFS では、AB列の指定範囲において、「試験担当課が指定された10つの担当課以外のデータ」をカウントしています。
つまり、AB列が「TM4D」「OS4A」「TM4B」「OS5A」「TM2D」「TM3C」「OS3A」「TM2J」「TK5A」「TM4C」「ST5B」のいずれでもないデータが存在すると、カウントが増えます。
◎2つ目の COUNTIFS
COUNTIFS(BA1:INDEX(BA:BA, MATCH(TRUE, INDEX(AS:AS="", 0), 0) - 1), "ST5B",
         AU1:INDEX(AU:AU, MATCH(TRUE, INDEX(AS:AS="", 0), 0) - 1), "&lt;&gt;食物繊維",
         AU1:INDEX(AU:AU, MATCH(TRUE, INDEX(AS:AS="", 0), 0) - 1), "&lt;&gt;ｶﾌｪｲﾝ",
         AU1:INDEX(AU:AU, MATCH(TRUE, INDEX(AS:AS="", 0), 0) - 1), "&lt;&gt;ﾀﾝﾆﾝ",
         AU1:INDEX(AU:AU, MATCH(TRUE, INDEX(AS:AS="", 0), 0) - 1), "&lt;&gt;ﾀﾝﾆﾝ(ﾀﾝﾆﾝ酸として)")
こちらの COUNTIFS は、BA列の指定範囲で試験担当課が「ST5B」である場合に、かつAS列の項目名が「食物繊維」「ｶﾌｪｲﾝ」「ﾀﾝﾆﾝ」「ﾀﾝﾆﾝ(ﾀﾝﾆﾝ酸として)」以外であるデータをカウントしています。
条件に一致する行がある場合、カウントが増えます。</t>
        </r>
      </text>
    </comment>
    <comment ref="S5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「TM2D項目+TM3C項目」のみの場合，分割担当課はTM2Dとするための判定
TM2Dあり かつ TM3Cありの際（S3セル＋S4セル=2)に1と表示する。</t>
        </r>
      </text>
    </comment>
    <comment ref="S6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ゲルマニウムの方法の場合，半減期の関係で急ぎ受付が必要につき，判定。
頭出し項目「核種」の数を判定。</t>
        </r>
      </text>
    </comment>
    <comment ref="S7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ゲルマニウムの方法の場合，半減期の関係で急ぎ受付が必要につき，判定。
頭出し項目「核種」の数を判定。</t>
        </r>
      </text>
    </comment>
    <comment ref="A15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食物繊維は項目名で判定</t>
        </r>
      </text>
    </comment>
    <comment ref="A20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拡大RSの場合，単独課でも分割課TMBKにする可能性あり。
例えば，試験担当課「TM4D」のみの場合も，分割課TMBKにするかもしれない。
OS5A単独の場合は，分割課OS5Aにする等，支所か否かでも設定が変わる可能性あり。</t>
        </r>
      </text>
    </comment>
    <comment ref="A21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ST5B項目のうち，食物繊維・ｶﾌｪｲﾝ・ﾀﾝﾆﾝは拡大RS扱いになる予定</t>
        </r>
      </text>
    </comment>
  </commentList>
</comments>
</file>

<file path=xl/sharedStrings.xml><?xml version="1.0" encoding="utf-8"?>
<sst xmlns="http://schemas.openxmlformats.org/spreadsheetml/2006/main" count="232" uniqueCount="146">
  <si>
    <t>受付No</t>
  </si>
  <si>
    <t>依頼主企業</t>
  </si>
  <si>
    <t>依頼主課名</t>
  </si>
  <si>
    <t>依頼主担当者</t>
  </si>
  <si>
    <t>受付日</t>
  </si>
  <si>
    <t>目的</t>
  </si>
  <si>
    <t>試験区分</t>
  </si>
  <si>
    <t>受付No</t>
    <rPh sb="0" eb="2">
      <t>ウケツケ</t>
    </rPh>
    <phoneticPr fontId="2"/>
  </si>
  <si>
    <t>処理時間</t>
    <rPh sb="0" eb="4">
      <t>ショリジカン</t>
    </rPh>
    <phoneticPr fontId="2"/>
  </si>
  <si>
    <t>検体No</t>
    <rPh sb="0" eb="2">
      <t>ケンタイ</t>
    </rPh>
    <phoneticPr fontId="2"/>
  </si>
  <si>
    <t>検体種</t>
    <rPh sb="0" eb="3">
      <t>ケンタイシュ</t>
    </rPh>
    <phoneticPr fontId="2"/>
  </si>
  <si>
    <t>検体保管</t>
    <rPh sb="0" eb="4">
      <t>ケンタイホカン</t>
    </rPh>
    <phoneticPr fontId="2"/>
  </si>
  <si>
    <t>数量</t>
    <rPh sb="0" eb="2">
      <t>スウリョウ</t>
    </rPh>
    <phoneticPr fontId="2"/>
  </si>
  <si>
    <t>形状</t>
    <rPh sb="0" eb="2">
      <t>ケイジョウ</t>
    </rPh>
    <phoneticPr fontId="2"/>
  </si>
  <si>
    <t>検体名1</t>
    <rPh sb="0" eb="3">
      <t>ケンタイメイ</t>
    </rPh>
    <phoneticPr fontId="2"/>
  </si>
  <si>
    <t>検体名2</t>
    <rPh sb="0" eb="3">
      <t>ケンタイメイ</t>
    </rPh>
    <phoneticPr fontId="2"/>
  </si>
  <si>
    <t>事業所</t>
  </si>
  <si>
    <t>【分析ナビ：参照元受付No】</t>
  </si>
  <si>
    <t>検体数</t>
  </si>
  <si>
    <t>持込予定日</t>
  </si>
  <si>
    <t>事業所備考</t>
  </si>
  <si>
    <t>受付状態</t>
  </si>
  <si>
    <t>依頼主事業所識別名</t>
  </si>
  <si>
    <t>受付事業所</t>
  </si>
  <si>
    <t>申込方法</t>
  </si>
  <si>
    <t>予発</t>
  </si>
  <si>
    <t>見発</t>
  </si>
  <si>
    <t>請求先企業</t>
  </si>
  <si>
    <t>請求先事業所識別名</t>
  </si>
  <si>
    <t>請求先担当者</t>
  </si>
  <si>
    <t>請ブ</t>
  </si>
  <si>
    <t>請倒</t>
  </si>
  <si>
    <t>請拒</t>
  </si>
  <si>
    <t>依拒</t>
  </si>
  <si>
    <t>中止</t>
  </si>
  <si>
    <t>保留</t>
  </si>
  <si>
    <t>試チ</t>
  </si>
  <si>
    <t>到チ</t>
  </si>
  <si>
    <t>成チ</t>
  </si>
  <si>
    <t>請チ</t>
  </si>
  <si>
    <t>結果～まで</t>
  </si>
  <si>
    <t>受付担当者</t>
  </si>
  <si>
    <t>整理</t>
  </si>
  <si>
    <t>集希</t>
  </si>
  <si>
    <t>集出</t>
  </si>
  <si>
    <t>品質管理</t>
  </si>
  <si>
    <t>普通</t>
  </si>
  <si>
    <t>項目 No</t>
  </si>
  <si>
    <t>試料 No</t>
  </si>
  <si>
    <t>項目名・費用名</t>
  </si>
  <si>
    <t>項目識別名 費用識別名</t>
  </si>
  <si>
    <t>仮</t>
  </si>
  <si>
    <t>試験 区分</t>
  </si>
  <si>
    <t>暫定単価</t>
  </si>
  <si>
    <t>標準単価</t>
  </si>
  <si>
    <t>試験 担当課</t>
  </si>
  <si>
    <t>分割 担当課</t>
  </si>
  <si>
    <t>優 先</t>
  </si>
  <si>
    <t>試験室 予定日</t>
  </si>
  <si>
    <t>依頼者 予定日</t>
  </si>
  <si>
    <t>換</t>
  </si>
  <si>
    <t>保 解</t>
  </si>
  <si>
    <t>中 止</t>
  </si>
  <si>
    <t>確 定</t>
  </si>
  <si>
    <t>基本料金名</t>
  </si>
  <si>
    <t>セット名</t>
  </si>
  <si>
    <t>試験カテゴリー１</t>
  </si>
  <si>
    <t>試験カテゴリー２</t>
  </si>
  <si>
    <t>試験カテゴリー３</t>
  </si>
  <si>
    <t>試験カテゴリー４</t>
  </si>
  <si>
    <t>試験カテゴリー５</t>
  </si>
  <si>
    <t>品質管理室</t>
  </si>
  <si>
    <t>検体名3</t>
    <rPh sb="0" eb="3">
      <t>ケンタイメイ</t>
    </rPh>
    <phoneticPr fontId="2"/>
  </si>
  <si>
    <t>検体名4</t>
    <rPh sb="0" eb="3">
      <t>ケンタイメイ</t>
    </rPh>
    <phoneticPr fontId="2"/>
  </si>
  <si>
    <t>検体名5</t>
    <rPh sb="0" eb="3">
      <t>ケンタイメイ</t>
    </rPh>
    <phoneticPr fontId="2"/>
  </si>
  <si>
    <t>検体名6</t>
    <rPh sb="0" eb="3">
      <t>ケンタイメイ</t>
    </rPh>
    <phoneticPr fontId="2"/>
  </si>
  <si>
    <t>受付番号</t>
    <rPh sb="0" eb="2">
      <t>ウケツケ</t>
    </rPh>
    <rPh sb="2" eb="4">
      <t>バンゴウ</t>
    </rPh>
    <phoneticPr fontId="4"/>
  </si>
  <si>
    <t>検体 No</t>
    <rPh sb="0" eb="2">
      <t>ケンタイ</t>
    </rPh>
    <phoneticPr fontId="4"/>
  </si>
  <si>
    <t>拡大RS項目</t>
    <rPh sb="0" eb="2">
      <t>カクダイ</t>
    </rPh>
    <rPh sb="4" eb="6">
      <t>コウモク</t>
    </rPh>
    <phoneticPr fontId="4"/>
  </si>
  <si>
    <t>微生物項目</t>
    <rPh sb="0" eb="5">
      <t>ビセイブツコウモク</t>
    </rPh>
    <phoneticPr fontId="4"/>
  </si>
  <si>
    <t>事業所ごとの項目数</t>
    <rPh sb="0" eb="3">
      <t>ジギョウショ</t>
    </rPh>
    <rPh sb="6" eb="9">
      <t>コウモクスウ</t>
    </rPh>
    <phoneticPr fontId="4"/>
  </si>
  <si>
    <t>内容</t>
    <rPh sb="0" eb="2">
      <t>ナイヨウ</t>
    </rPh>
    <phoneticPr fontId="4"/>
  </si>
  <si>
    <t>総数</t>
    <rPh sb="0" eb="2">
      <t>ソウスウ</t>
    </rPh>
    <phoneticPr fontId="4"/>
  </si>
  <si>
    <t>有無</t>
    <rPh sb="0" eb="2">
      <t>ウム</t>
    </rPh>
    <phoneticPr fontId="4"/>
  </si>
  <si>
    <t>拡大RS TOTAL</t>
    <rPh sb="0" eb="2">
      <t>カクダイ</t>
    </rPh>
    <phoneticPr fontId="4"/>
  </si>
  <si>
    <t>TOTAL</t>
    <phoneticPr fontId="4"/>
  </si>
  <si>
    <t>TM</t>
    <phoneticPr fontId="4"/>
  </si>
  <si>
    <t>拡大RS以外 TOTAL</t>
    <rPh sb="0" eb="2">
      <t>カクダイ</t>
    </rPh>
    <rPh sb="4" eb="6">
      <t>イガイ</t>
    </rPh>
    <phoneticPr fontId="4"/>
  </si>
  <si>
    <t>TM2J</t>
  </si>
  <si>
    <t>TK</t>
    <phoneticPr fontId="4"/>
  </si>
  <si>
    <t>単価判定</t>
    <rPh sb="0" eb="4">
      <t>タンカハンテイ</t>
    </rPh>
    <phoneticPr fontId="4"/>
  </si>
  <si>
    <t>TM4D</t>
    <phoneticPr fontId="4"/>
  </si>
  <si>
    <t>TM2C</t>
  </si>
  <si>
    <t>NA</t>
    <phoneticPr fontId="4"/>
  </si>
  <si>
    <t>試験担当課判定</t>
    <rPh sb="0" eb="5">
      <t>シケンタントウカ</t>
    </rPh>
    <rPh sb="5" eb="7">
      <t>ハンテイ</t>
    </rPh>
    <phoneticPr fontId="4"/>
  </si>
  <si>
    <t>OS4A</t>
    <phoneticPr fontId="4"/>
  </si>
  <si>
    <t>TK5A</t>
  </si>
  <si>
    <t>OS</t>
    <phoneticPr fontId="4"/>
  </si>
  <si>
    <t>試験室予定日判定</t>
    <rPh sb="0" eb="8">
      <t>シケンシツヨテイビハンテイ</t>
    </rPh>
    <phoneticPr fontId="4"/>
  </si>
  <si>
    <t>TM4B</t>
    <phoneticPr fontId="4"/>
  </si>
  <si>
    <t>OS2B</t>
  </si>
  <si>
    <t>ST</t>
    <phoneticPr fontId="4"/>
  </si>
  <si>
    <t>OS5A</t>
    <phoneticPr fontId="4"/>
  </si>
  <si>
    <t>NA3A</t>
  </si>
  <si>
    <t>KS</t>
    <phoneticPr fontId="4"/>
  </si>
  <si>
    <t>TM2D</t>
    <phoneticPr fontId="4"/>
  </si>
  <si>
    <t>KS2A</t>
  </si>
  <si>
    <t>HK</t>
    <phoneticPr fontId="4"/>
  </si>
  <si>
    <t>TM3C</t>
    <phoneticPr fontId="4"/>
  </si>
  <si>
    <t>ST2B</t>
    <phoneticPr fontId="4"/>
  </si>
  <si>
    <t>OS3A</t>
    <phoneticPr fontId="4"/>
  </si>
  <si>
    <t>TM2J</t>
    <phoneticPr fontId="4"/>
  </si>
  <si>
    <t>TK5A</t>
    <phoneticPr fontId="4"/>
  </si>
  <si>
    <t>TM4C</t>
    <phoneticPr fontId="4"/>
  </si>
  <si>
    <t>ST5B(食物繊維等)</t>
    <rPh sb="5" eb="9">
      <t>ショクモツセンイ</t>
    </rPh>
    <rPh sb="9" eb="10">
      <t>ナド</t>
    </rPh>
    <phoneticPr fontId="4"/>
  </si>
  <si>
    <t>メモ</t>
    <phoneticPr fontId="4"/>
  </si>
  <si>
    <t>分割課メモ</t>
    <rPh sb="0" eb="3">
      <t>ブンカツカ</t>
    </rPh>
    <phoneticPr fontId="4"/>
  </si>
  <si>
    <t>ST5B項目メモ</t>
    <rPh sb="4" eb="6">
      <t>コウモク</t>
    </rPh>
    <phoneticPr fontId="4"/>
  </si>
  <si>
    <t>抽出料</t>
    <phoneticPr fontId="8"/>
  </si>
  <si>
    <t>分析ナビ指示事項</t>
    <rPh sb="0" eb="2">
      <t>ブンセキ</t>
    </rPh>
    <rPh sb="4" eb="8">
      <t>シジジコウ</t>
    </rPh>
    <phoneticPr fontId="2"/>
  </si>
  <si>
    <t>特殊項目判定</t>
    <rPh sb="0" eb="6">
      <t>トクシュコウモクハンテイ</t>
    </rPh>
    <phoneticPr fontId="2"/>
  </si>
  <si>
    <t>RPA情報判定</t>
    <rPh sb="3" eb="5">
      <t>ジョウホウ</t>
    </rPh>
    <rPh sb="5" eb="7">
      <t>ハンテイ</t>
    </rPh>
    <phoneticPr fontId="4"/>
  </si>
  <si>
    <t>TM2D</t>
    <phoneticPr fontId="2"/>
  </si>
  <si>
    <t>TM3C</t>
    <phoneticPr fontId="2"/>
  </si>
  <si>
    <t>TM2D+TM3C判定</t>
    <rPh sb="9" eb="11">
      <t>ハンテイ</t>
    </rPh>
    <phoneticPr fontId="2"/>
  </si>
  <si>
    <t>-</t>
    <phoneticPr fontId="2"/>
  </si>
  <si>
    <t>核種判定</t>
    <rPh sb="0" eb="4">
      <t>カクシュハンテイ</t>
    </rPh>
    <phoneticPr fontId="2"/>
  </si>
  <si>
    <t>一粒の重さ判定</t>
    <rPh sb="0" eb="2">
      <t>ヒトツブ</t>
    </rPh>
    <rPh sb="3" eb="4">
      <t>オモ</t>
    </rPh>
    <rPh sb="5" eb="7">
      <t>ハンテイ</t>
    </rPh>
    <phoneticPr fontId="2"/>
  </si>
  <si>
    <t>拡大RS判定</t>
    <rPh sb="0" eb="2">
      <t>カクダイ</t>
    </rPh>
    <rPh sb="4" eb="6">
      <t>ハンテイ</t>
    </rPh>
    <phoneticPr fontId="2"/>
  </si>
  <si>
    <t>拡大RS判定</t>
    <rPh sb="0" eb="2">
      <t>カクダイ</t>
    </rPh>
    <rPh sb="4" eb="6">
      <t>ハンテイ</t>
    </rPh>
    <phoneticPr fontId="2"/>
  </si>
  <si>
    <t>最終判定</t>
    <rPh sb="0" eb="4">
      <t>サイシュウハンテイ</t>
    </rPh>
    <phoneticPr fontId="2"/>
  </si>
  <si>
    <t>判定</t>
    <rPh sb="0" eb="2">
      <t>ハンテイ</t>
    </rPh>
    <phoneticPr fontId="4"/>
  </si>
  <si>
    <t>仕分け判定</t>
    <rPh sb="0" eb="2">
      <t>シワ</t>
    </rPh>
    <rPh sb="3" eb="5">
      <t>ハンテイ</t>
    </rPh>
    <phoneticPr fontId="2"/>
  </si>
  <si>
    <t>難易度判定</t>
    <rPh sb="0" eb="5">
      <t>ナンイドハンテイ</t>
    </rPh>
    <phoneticPr fontId="2"/>
  </si>
  <si>
    <t>仕分け判定</t>
    <rPh sb="0" eb="2">
      <t>シワ</t>
    </rPh>
    <rPh sb="3" eb="5">
      <t>ハンテイ</t>
    </rPh>
    <phoneticPr fontId="2"/>
  </si>
  <si>
    <t>TMTK以外事業所数</t>
    <rPh sb="4" eb="6">
      <t>イガイ</t>
    </rPh>
    <rPh sb="6" eb="10">
      <t>ジギョウショスウ</t>
    </rPh>
    <phoneticPr fontId="4"/>
  </si>
  <si>
    <t>TMTK事業所数</t>
    <rPh sb="4" eb="8">
      <t>ジギョウショスウ</t>
    </rPh>
    <phoneticPr fontId="4"/>
  </si>
  <si>
    <t>全事業所数</t>
    <rPh sb="0" eb="1">
      <t>ゼン</t>
    </rPh>
    <rPh sb="1" eb="5">
      <t>ジギョウショスウ</t>
    </rPh>
    <phoneticPr fontId="4"/>
  </si>
  <si>
    <t>試験室数</t>
    <rPh sb="0" eb="3">
      <t>シケンシツ</t>
    </rPh>
    <rPh sb="3" eb="4">
      <t>スウ</t>
    </rPh>
    <phoneticPr fontId="4"/>
  </si>
  <si>
    <t>仕分け追記部分</t>
    <rPh sb="0" eb="2">
      <t>シワ</t>
    </rPh>
    <rPh sb="3" eb="7">
      <t>ツイキブブン</t>
    </rPh>
    <phoneticPr fontId="2"/>
  </si>
  <si>
    <t>最終仕分け</t>
    <rPh sb="0" eb="4">
      <t>サイシュウシワ</t>
    </rPh>
    <phoneticPr fontId="2"/>
  </si>
  <si>
    <t>RPA可否判定</t>
    <rPh sb="3" eb="5">
      <t>カヒ</t>
    </rPh>
    <rPh sb="5" eb="7">
      <t>ハンテイ</t>
    </rPh>
    <phoneticPr fontId="4"/>
  </si>
  <si>
    <t>TM00</t>
    <phoneticPr fontId="2"/>
  </si>
  <si>
    <t>一番上の担当課</t>
    <rPh sb="0" eb="3">
      <t>イチバンウエ</t>
    </rPh>
    <rPh sb="4" eb="7">
      <t>タントウカ</t>
    </rPh>
    <phoneticPr fontId="2"/>
  </si>
  <si>
    <t>オリエンタル酵母工業株式会社</t>
  </si>
  <si>
    <t>小野塚恵美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</si>
</sst>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游ゴシック"/>
      <family val="2"/>
      <charset val="128"/>
      <scheme val="minor"/>
    </font>
    <font>
      <sz val="11"/>
      <color theme="1"/>
      <name val="ＭＳ Ｐゴシック"/>
      <family val="2"/>
      <charset val="128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6"/>
      <name val="ＭＳ Ｐゴシック"/>
      <family val="2"/>
      <charset val="128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9"/>
      <color indexed="81"/>
      <name val="MS P ゴシック"/>
      <family val="3"/>
      <charset val="128"/>
    </font>
    <font>
      <sz val="6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46">
    <xf numFmtId="0" fontId="0" fillId="0" borderId="0" xfId="0">
      <alignment vertical="center"/>
    </xf>
    <xf numFmtId="22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3" fontId="0" fillId="0" borderId="0" xfId="0" applyNumberFormat="1">
      <alignment vertical="center"/>
    </xf>
    <xf numFmtId="0" fontId="1" fillId="0" borderId="0" xfId="1">
      <alignment vertical="center"/>
    </xf>
    <xf numFmtId="0" fontId="5" fillId="3" borderId="0" xfId="1" applyFont="1" applyFill="1">
      <alignment vertical="center"/>
    </xf>
    <xf numFmtId="0" fontId="6" fillId="3" borderId="0" xfId="1" applyFont="1" applyFill="1" applyAlignment="1">
      <alignment horizontal="center" vertical="center"/>
    </xf>
    <xf numFmtId="0" fontId="6" fillId="0" borderId="0" xfId="1" applyFont="1">
      <alignment vertical="center"/>
    </xf>
    <xf numFmtId="0" fontId="5" fillId="4" borderId="0" xfId="1" applyFont="1" applyFill="1">
      <alignment vertical="center"/>
    </xf>
    <xf numFmtId="0" fontId="6" fillId="4" borderId="0" xfId="1" applyFont="1" applyFill="1">
      <alignment vertical="center"/>
    </xf>
    <xf numFmtId="0" fontId="5" fillId="5" borderId="0" xfId="1" applyFont="1" applyFill="1">
      <alignment vertical="center"/>
    </xf>
    <xf numFmtId="0" fontId="6" fillId="5" borderId="0" xfId="1" applyFont="1" applyFill="1">
      <alignment vertical="center"/>
    </xf>
    <xf numFmtId="0" fontId="5" fillId="6" borderId="0" xfId="1" applyFont="1" applyFill="1">
      <alignment vertical="center"/>
    </xf>
    <xf numFmtId="0" fontId="6" fillId="6" borderId="0" xfId="1" applyFont="1" applyFill="1" applyAlignment="1">
      <alignment horizontal="center" vertical="center"/>
    </xf>
    <xf numFmtId="0" fontId="6" fillId="6" borderId="0" xfId="1" applyFont="1" applyFill="1">
      <alignment vertical="center"/>
    </xf>
    <xf numFmtId="0" fontId="5" fillId="3" borderId="1" xfId="1" applyFont="1" applyFill="1" applyBorder="1" applyAlignment="1">
      <alignment horizontal="center" vertical="center"/>
    </xf>
    <xf numFmtId="0" fontId="5" fillId="4" borderId="1" xfId="1" applyFont="1" applyFill="1" applyBorder="1" applyAlignment="1">
      <alignment horizontal="center" vertical="center"/>
    </xf>
    <xf numFmtId="0" fontId="5" fillId="5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6" fillId="3" borderId="1" xfId="1" applyFont="1" applyFill="1" applyBorder="1">
      <alignment vertical="center"/>
    </xf>
    <xf numFmtId="0" fontId="6" fillId="3" borderId="1" xfId="1" applyFont="1" applyFill="1" applyBorder="1" applyAlignment="1">
      <alignment horizontal="center" vertical="center"/>
    </xf>
    <xf numFmtId="0" fontId="6" fillId="4" borderId="1" xfId="1" applyFont="1" applyFill="1" applyBorder="1" applyAlignment="1">
      <alignment horizontal="left" vertical="center"/>
    </xf>
    <xf numFmtId="0" fontId="6" fillId="4" borderId="1" xfId="1" applyFont="1" applyFill="1" applyBorder="1" applyAlignment="1">
      <alignment horizontal="center" vertical="center"/>
    </xf>
    <xf numFmtId="0" fontId="6" fillId="5" borderId="1" xfId="1" applyFont="1" applyFill="1" applyBorder="1">
      <alignment vertical="center"/>
    </xf>
    <xf numFmtId="0" fontId="6" fillId="5" borderId="1" xfId="1" applyFont="1" applyFill="1" applyBorder="1" applyAlignment="1">
      <alignment horizontal="center" vertical="center"/>
    </xf>
    <xf numFmtId="0" fontId="6" fillId="6" borderId="1" xfId="1" applyFont="1" applyFill="1" applyBorder="1">
      <alignment vertical="center"/>
    </xf>
    <xf numFmtId="0" fontId="6" fillId="6" borderId="1" xfId="1" applyFont="1" applyFill="1" applyBorder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5" fillId="5" borderId="1" xfId="1" applyFont="1" applyFill="1" applyBorder="1">
      <alignment vertical="center"/>
    </xf>
    <xf numFmtId="0" fontId="1" fillId="0" borderId="0" xfId="1" applyAlignment="1"/>
    <xf numFmtId="0" fontId="5" fillId="0" borderId="0" xfId="1" applyFont="1" applyAlignment="1">
      <alignment horizontal="center" vertical="center"/>
    </xf>
    <xf numFmtId="0" fontId="5" fillId="7" borderId="0" xfId="1" applyFont="1" applyFill="1">
      <alignment vertical="center"/>
    </xf>
    <xf numFmtId="0" fontId="6" fillId="7" borderId="0" xfId="1" applyFont="1" applyFill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6" fillId="7" borderId="1" xfId="1" applyFont="1" applyFill="1" applyBorder="1">
      <alignment vertical="center"/>
    </xf>
    <xf numFmtId="0" fontId="6" fillId="7" borderId="1" xfId="1" applyFont="1" applyFill="1" applyBorder="1" applyAlignment="1">
      <alignment horizontal="center" vertical="center"/>
    </xf>
    <xf numFmtId="0" fontId="6" fillId="0" borderId="0" xfId="1" applyFont="1" applyAlignment="1">
      <alignment horizontal="left" vertical="center"/>
    </xf>
    <xf numFmtId="0" fontId="5" fillId="4" borderId="0" xfId="1" applyFont="1" applyFill="1" applyAlignment="1">
      <alignment horizontal="left" vertical="center"/>
    </xf>
    <xf numFmtId="0" fontId="6" fillId="4" borderId="0" xfId="1" applyFont="1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/>
    </xf>
    <xf numFmtId="14" fontId="0" fillId="0" borderId="0" xfId="0" applyNumberFormat="1" applyAlignment="1">
      <alignment vertical="center" wrapText="1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142875</xdr:colOff>
      <xdr:row>0</xdr:row>
      <xdr:rowOff>0</xdr:rowOff>
    </xdr:from>
    <xdr:to>
      <xdr:col>59</xdr:col>
      <xdr:colOff>155038</xdr:colOff>
      <xdr:row>23</xdr:row>
      <xdr:rowOff>9525</xdr:rowOff>
    </xdr:to>
    <xdr:pic>
      <xdr:nvPicPr>
        <xdr:cNvPr id="84" name="図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43725" y="0"/>
          <a:ext cx="5012788" cy="5486400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0</xdr:row>
      <xdr:rowOff>0</xdr:rowOff>
    </xdr:from>
    <xdr:to>
      <xdr:col>29</xdr:col>
      <xdr:colOff>161926</xdr:colOff>
      <xdr:row>11</xdr:row>
      <xdr:rowOff>53893</xdr:rowOff>
    </xdr:to>
    <xdr:pic>
      <xdr:nvPicPr>
        <xdr:cNvPr id="85" name="図 84">
          <a:extLst>
            <a:ext uri="{FF2B5EF4-FFF2-40B4-BE49-F238E27FC236}">
              <a16:creationId xmlns:a16="http://schemas.microsoft.com/office/drawing/2014/main" id="{00000000-0008-0000-0900-00005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53526"/>
        <a:stretch/>
      </xdr:blipFill>
      <xdr:spPr>
        <a:xfrm>
          <a:off x="1" y="0"/>
          <a:ext cx="5962650" cy="267326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85725</xdr:rowOff>
    </xdr:from>
    <xdr:to>
      <xdr:col>33</xdr:col>
      <xdr:colOff>143816</xdr:colOff>
      <xdr:row>21</xdr:row>
      <xdr:rowOff>124163</xdr:rowOff>
    </xdr:to>
    <xdr:pic>
      <xdr:nvPicPr>
        <xdr:cNvPr id="86" name="図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705100"/>
          <a:ext cx="6744641" cy="241968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548"/>
  <sheetViews>
    <sheetView tabSelected="1" workbookViewId="0">
      <selection activeCell="B16" sqref="B16"/>
    </sheetView>
  </sheetViews>
  <sheetFormatPr defaultRowHeight="18.75"/>
  <cols>
    <col min="1" max="1" width="9.5" bestFit="1" customWidth="1"/>
    <col min="2" max="2" width="37.875" customWidth="1"/>
    <col min="3" max="3" width="27.375" customWidth="1"/>
    <col min="4" max="4" width="19.375" customWidth="1"/>
    <col min="5" max="5" width="11.375" bestFit="1" customWidth="1"/>
    <col min="11" max="11" width="11" bestFit="1" customWidth="1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16</v>
      </c>
      <c r="I1" t="s">
        <v>17</v>
      </c>
      <c r="J1" t="s">
        <v>18</v>
      </c>
      <c r="K1" t="s">
        <v>19</v>
      </c>
      <c r="L1" t="s">
        <v>20</v>
      </c>
      <c r="M1" t="s">
        <v>128</v>
      </c>
      <c r="N1" t="s">
        <v>132</v>
      </c>
      <c r="O1" t="s">
        <v>133</v>
      </c>
    </row>
    <row r="2" spans="1:15">
      <c r="A2">
        <v>24110984</v>
      </c>
      <c r="E2" s="2"/>
    </row>
    <row r="3" spans="1:15">
      <c r="A3">
        <v>24110976</v>
      </c>
      <c r="E3" s="2"/>
    </row>
    <row r="4" spans="1:15">
      <c r="A4">
        <v>24110963</v>
      </c>
      <c r="E4" s="2"/>
    </row>
    <row r="5" spans="1:15">
      <c r="A5">
        <v>24110958</v>
      </c>
      <c r="E5" s="2"/>
    </row>
    <row r="6" spans="1:15">
      <c r="A6">
        <v>24110954</v>
      </c>
      <c r="E6" s="2"/>
    </row>
    <row r="7" spans="1:15">
      <c r="A7">
        <v>24110948</v>
      </c>
      <c r="E7" s="2"/>
    </row>
    <row r="8" spans="1:15">
      <c r="A8">
        <v>24110933</v>
      </c>
      <c r="E8" s="2"/>
    </row>
    <row r="9" spans="1:15">
      <c r="A9">
        <v>24110932</v>
      </c>
      <c r="E9" s="2"/>
    </row>
    <row r="10" spans="1:15">
      <c r="A10">
        <v>24110928</v>
      </c>
      <c r="E10" s="2"/>
    </row>
    <row r="11" spans="1:15">
      <c r="A11">
        <v>24110925</v>
      </c>
      <c r="E11" s="2"/>
    </row>
    <row r="12" spans="1:15">
      <c r="A12">
        <v>24110913</v>
      </c>
      <c r="E12" s="2"/>
    </row>
    <row r="13" spans="1:15">
      <c r="A13">
        <v>24110907</v>
      </c>
      <c r="E13" s="2"/>
    </row>
    <row r="14" spans="1:15">
      <c r="A14">
        <v>24110900</v>
      </c>
      <c r="E14" s="2"/>
    </row>
    <row r="15" spans="1:15">
      <c r="A15">
        <v>24110894</v>
      </c>
      <c r="E15" s="2"/>
    </row>
    <row r="16" spans="1:15">
      <c r="A16">
        <v>24110885</v>
      </c>
      <c r="E16" s="2"/>
    </row>
    <row r="17" spans="1:5">
      <c r="A17">
        <v>24110877</v>
      </c>
      <c r="E17" s="2"/>
    </row>
    <row r="18" spans="1:5">
      <c r="A18">
        <v>24110873</v>
      </c>
      <c r="E18" s="2"/>
    </row>
    <row r="19" spans="1:5">
      <c r="A19">
        <v>24110868</v>
      </c>
      <c r="E19" s="2"/>
    </row>
    <row r="20" spans="1:5">
      <c r="A20">
        <v>24110863</v>
      </c>
      <c r="E20" s="2"/>
    </row>
    <row r="21" spans="1:5">
      <c r="A21">
        <v>24110860</v>
      </c>
      <c r="E21" s="2"/>
    </row>
    <row r="22" spans="1:5">
      <c r="A22">
        <v>24110859</v>
      </c>
      <c r="E22" s="2"/>
    </row>
    <row r="23" spans="1:5">
      <c r="A23">
        <v>24110858</v>
      </c>
      <c r="E23" s="2"/>
    </row>
    <row r="24" spans="1:5">
      <c r="A24">
        <v>24110850</v>
      </c>
      <c r="E24" s="2"/>
    </row>
    <row r="25" spans="1:5">
      <c r="A25">
        <v>24110849</v>
      </c>
      <c r="E25" s="2"/>
    </row>
    <row r="26" spans="1:5">
      <c r="A26">
        <v>24110848</v>
      </c>
      <c r="E26" s="2"/>
    </row>
    <row r="27" spans="1:5">
      <c r="A27">
        <v>24110846</v>
      </c>
      <c r="E27" s="2"/>
    </row>
    <row r="28" spans="1:5">
      <c r="A28">
        <v>24110844</v>
      </c>
      <c r="E28" s="2"/>
    </row>
    <row r="29" spans="1:5">
      <c r="A29">
        <v>24110837</v>
      </c>
      <c r="E29" s="2"/>
    </row>
    <row r="30" spans="1:5">
      <c r="A30">
        <v>24110836</v>
      </c>
      <c r="E30" s="2"/>
    </row>
    <row r="31" spans="1:5">
      <c r="A31">
        <v>24110834</v>
      </c>
      <c r="E31" s="2"/>
    </row>
    <row r="32" spans="1:5">
      <c r="A32">
        <v>24110833</v>
      </c>
      <c r="E32" s="2"/>
    </row>
    <row r="33" spans="1:5">
      <c r="A33">
        <v>24110830</v>
      </c>
      <c r="E33" s="2"/>
    </row>
    <row r="34" spans="1:5">
      <c r="A34">
        <v>24110827</v>
      </c>
      <c r="E34" s="2"/>
    </row>
    <row r="35" spans="1:5">
      <c r="A35">
        <v>24110820</v>
      </c>
      <c r="E35" s="2"/>
    </row>
    <row r="36" spans="1:5">
      <c r="A36">
        <v>24110819</v>
      </c>
      <c r="E36" s="2"/>
    </row>
    <row r="37" spans="1:5">
      <c r="A37">
        <v>24110818</v>
      </c>
      <c r="E37" s="2"/>
    </row>
    <row r="38" spans="1:5">
      <c r="A38">
        <v>24110816</v>
      </c>
      <c r="E38" s="2"/>
    </row>
    <row r="39" spans="1:5">
      <c r="A39">
        <v>24110813</v>
      </c>
      <c r="E39" s="2"/>
    </row>
    <row r="40" spans="1:5">
      <c r="A40">
        <v>24110811</v>
      </c>
      <c r="E40" s="2"/>
    </row>
    <row r="41" spans="1:5">
      <c r="A41">
        <v>24110809</v>
      </c>
      <c r="E41" s="2"/>
    </row>
    <row r="42" spans="1:5">
      <c r="A42">
        <v>24110803</v>
      </c>
      <c r="E42" s="2"/>
    </row>
    <row r="43" spans="1:5">
      <c r="A43">
        <v>24110794</v>
      </c>
      <c r="E43" s="2"/>
    </row>
    <row r="44" spans="1:5">
      <c r="A44">
        <v>24110792</v>
      </c>
      <c r="E44" s="2"/>
    </row>
    <row r="45" spans="1:5">
      <c r="A45">
        <v>24110780</v>
      </c>
      <c r="E45" s="2"/>
    </row>
    <row r="46" spans="1:5">
      <c r="A46">
        <v>24110779</v>
      </c>
      <c r="E46" s="2"/>
    </row>
    <row r="47" spans="1:5">
      <c r="A47">
        <v>24110776</v>
      </c>
      <c r="E47" s="2"/>
    </row>
    <row r="48" spans="1:5">
      <c r="A48">
        <v>24110773</v>
      </c>
      <c r="E48" s="2"/>
    </row>
    <row r="49" spans="1:5">
      <c r="A49">
        <v>24110769</v>
      </c>
      <c r="E49" s="2"/>
    </row>
    <row r="50" spans="1:5">
      <c r="A50">
        <v>24110761</v>
      </c>
      <c r="E50" s="2"/>
    </row>
    <row r="51" spans="1:5">
      <c r="A51">
        <v>24110742</v>
      </c>
      <c r="E51" s="2"/>
    </row>
    <row r="52" spans="1:5">
      <c r="A52">
        <v>24110740</v>
      </c>
      <c r="E52" s="2"/>
    </row>
    <row r="53" spans="1:5">
      <c r="A53">
        <v>24110739</v>
      </c>
      <c r="E53" s="2"/>
    </row>
    <row r="54" spans="1:5">
      <c r="A54">
        <v>24110737</v>
      </c>
      <c r="E54" s="2"/>
    </row>
    <row r="55" spans="1:5">
      <c r="A55">
        <v>24110723</v>
      </c>
      <c r="E55" s="2"/>
    </row>
    <row r="56" spans="1:5">
      <c r="A56">
        <v>24110713</v>
      </c>
      <c r="E56" s="2"/>
    </row>
    <row r="57" spans="1:5">
      <c r="A57">
        <v>24110710</v>
      </c>
      <c r="E57" s="2"/>
    </row>
    <row r="58" spans="1:5">
      <c r="A58">
        <v>24110701</v>
      </c>
      <c r="E58" s="2"/>
    </row>
    <row r="59" spans="1:5">
      <c r="A59">
        <v>24110693</v>
      </c>
      <c r="E59" s="2"/>
    </row>
    <row r="60" spans="1:5">
      <c r="A60">
        <v>24110692</v>
      </c>
      <c r="E60" s="2"/>
    </row>
    <row r="61" spans="1:5">
      <c r="A61">
        <v>24110687</v>
      </c>
      <c r="E61" s="2"/>
    </row>
    <row r="62" spans="1:5">
      <c r="A62">
        <v>24110673</v>
      </c>
      <c r="E62" s="2"/>
    </row>
    <row r="63" spans="1:5">
      <c r="A63">
        <v>24110670</v>
      </c>
      <c r="E63" s="2"/>
    </row>
    <row r="64" spans="1:5">
      <c r="A64">
        <v>24110668</v>
      </c>
      <c r="E64" s="2"/>
    </row>
    <row r="65" spans="1:5">
      <c r="A65">
        <v>24110666</v>
      </c>
      <c r="E65" s="2"/>
    </row>
    <row r="66" spans="1:5">
      <c r="A66">
        <v>24110663</v>
      </c>
      <c r="E66" s="2"/>
    </row>
    <row r="67" spans="1:5">
      <c r="A67">
        <v>24110653</v>
      </c>
      <c r="E67" s="2"/>
    </row>
    <row r="68" spans="1:5">
      <c r="A68">
        <v>24110651</v>
      </c>
      <c r="E68" s="2"/>
    </row>
    <row r="69" spans="1:5">
      <c r="A69">
        <v>24110649</v>
      </c>
      <c r="E69" s="2"/>
    </row>
    <row r="70" spans="1:5">
      <c r="A70">
        <v>24110646</v>
      </c>
      <c r="E70" s="2"/>
    </row>
    <row r="71" spans="1:5">
      <c r="A71">
        <v>24110642</v>
      </c>
      <c r="E71" s="2"/>
    </row>
    <row r="72" spans="1:5">
      <c r="A72">
        <v>24110624</v>
      </c>
      <c r="E72" s="2"/>
    </row>
    <row r="73" spans="1:5">
      <c r="A73">
        <v>24110623</v>
      </c>
      <c r="E73" s="2"/>
    </row>
    <row r="74" spans="1:5">
      <c r="A74">
        <v>24110621</v>
      </c>
      <c r="E74" s="2"/>
    </row>
    <row r="75" spans="1:5">
      <c r="A75">
        <v>24110609</v>
      </c>
      <c r="E75" s="2"/>
    </row>
    <row r="76" spans="1:5">
      <c r="A76">
        <v>24110592</v>
      </c>
      <c r="E76" s="2"/>
    </row>
    <row r="77" spans="1:5">
      <c r="A77">
        <v>24110588</v>
      </c>
      <c r="E77" s="2"/>
    </row>
    <row r="78" spans="1:5">
      <c r="A78">
        <v>24110587</v>
      </c>
      <c r="E78" s="2"/>
    </row>
    <row r="79" spans="1:5">
      <c r="A79">
        <v>24110586</v>
      </c>
      <c r="E79" s="2"/>
    </row>
    <row r="80" spans="1:5">
      <c r="A80">
        <v>24110540</v>
      </c>
      <c r="E80" s="2"/>
    </row>
    <row r="81" spans="1:5">
      <c r="A81">
        <v>24110511</v>
      </c>
      <c r="E81" s="2"/>
    </row>
    <row r="82" spans="1:5">
      <c r="A82">
        <v>24110510</v>
      </c>
      <c r="E82" s="2"/>
    </row>
    <row r="83" spans="1:5">
      <c r="A83">
        <v>24110507</v>
      </c>
      <c r="E83" s="2"/>
    </row>
    <row r="84" spans="1:5">
      <c r="A84">
        <v>24110506</v>
      </c>
      <c r="E84" s="2"/>
    </row>
    <row r="85" spans="1:5">
      <c r="A85">
        <v>24110499</v>
      </c>
      <c r="E85" s="2"/>
    </row>
    <row r="86" spans="1:5">
      <c r="A86">
        <v>24110493</v>
      </c>
      <c r="E86" s="2"/>
    </row>
    <row r="87" spans="1:5">
      <c r="A87">
        <v>24110471</v>
      </c>
      <c r="E87" s="2"/>
    </row>
    <row r="88" spans="1:5">
      <c r="A88">
        <v>24110427</v>
      </c>
      <c r="E88" s="2"/>
    </row>
    <row r="89" spans="1:5">
      <c r="A89">
        <v>24110423</v>
      </c>
      <c r="E89" s="2"/>
    </row>
    <row r="90" spans="1:5">
      <c r="A90">
        <v>24110421</v>
      </c>
      <c r="E90" s="2"/>
    </row>
    <row r="91" spans="1:5">
      <c r="A91">
        <v>24110342</v>
      </c>
      <c r="E91" s="2"/>
    </row>
    <row r="92" spans="1:5">
      <c r="A92">
        <v>24110340</v>
      </c>
      <c r="E92" s="2"/>
    </row>
    <row r="93" spans="1:5">
      <c r="A93">
        <v>24110322</v>
      </c>
      <c r="E93" s="2"/>
    </row>
    <row r="94" spans="1:5">
      <c r="A94">
        <v>24110249</v>
      </c>
      <c r="E94" s="2"/>
    </row>
    <row r="95" spans="1:5">
      <c r="A95">
        <v>24110209</v>
      </c>
      <c r="E95" s="2"/>
    </row>
    <row r="96" spans="1:5">
      <c r="A96">
        <v>24110206</v>
      </c>
      <c r="E96" s="2"/>
    </row>
    <row r="97" spans="1:5">
      <c r="A97">
        <v>24110205</v>
      </c>
      <c r="E97" s="2"/>
    </row>
    <row r="98" spans="1:5">
      <c r="A98">
        <v>24110164</v>
      </c>
      <c r="E98" s="2"/>
    </row>
    <row r="99" spans="1:5">
      <c r="A99">
        <v>24110109</v>
      </c>
      <c r="E99" s="2"/>
    </row>
    <row r="100" spans="1:5">
      <c r="A100">
        <v>24110066</v>
      </c>
      <c r="E100" s="2"/>
    </row>
    <row r="101" spans="1:5">
      <c r="A101">
        <v>24110058</v>
      </c>
      <c r="E101" s="2"/>
    </row>
    <row r="102" spans="1:5">
      <c r="A102">
        <v>24110046</v>
      </c>
      <c r="E102" s="2"/>
    </row>
    <row r="103" spans="1:5">
      <c r="A103">
        <v>24110031</v>
      </c>
      <c r="E103" s="2"/>
    </row>
    <row r="104" spans="1:5">
      <c r="A104">
        <v>24110021</v>
      </c>
      <c r="E104" s="2"/>
    </row>
    <row r="105" spans="1:5">
      <c r="A105">
        <v>24109902</v>
      </c>
      <c r="E105" s="2"/>
    </row>
    <row r="106" spans="1:5">
      <c r="A106">
        <v>24109876</v>
      </c>
      <c r="E106" s="2"/>
    </row>
    <row r="107" spans="1:5">
      <c r="A107">
        <v>24109818</v>
      </c>
      <c r="E107" s="2"/>
    </row>
    <row r="108" spans="1:5">
      <c r="A108">
        <v>24109810</v>
      </c>
      <c r="E108" s="2"/>
    </row>
    <row r="109" spans="1:5">
      <c r="A109">
        <v>24109727</v>
      </c>
      <c r="E109" s="2"/>
    </row>
    <row r="110" spans="1:5">
      <c r="A110">
        <v>24109720</v>
      </c>
      <c r="E110" s="2"/>
    </row>
    <row r="111" spans="1:5">
      <c r="A111">
        <v>24109644</v>
      </c>
      <c r="E111" s="2"/>
    </row>
    <row r="112" spans="1:5">
      <c r="A112">
        <v>24109493</v>
      </c>
      <c r="E112" s="2"/>
    </row>
    <row r="113" spans="1:5">
      <c r="A113">
        <v>24109492</v>
      </c>
      <c r="E113" s="2"/>
    </row>
    <row r="114" spans="1:5">
      <c r="A114">
        <v>24109336</v>
      </c>
      <c r="E114" s="2"/>
    </row>
    <row r="115" spans="1:5">
      <c r="A115">
        <v>24109316</v>
      </c>
      <c r="E115" s="2"/>
    </row>
    <row r="116" spans="1:5">
      <c r="A116">
        <v>24109314</v>
      </c>
      <c r="E116" s="2"/>
    </row>
    <row r="117" spans="1:5">
      <c r="A117">
        <v>24109281</v>
      </c>
      <c r="E117" s="2"/>
    </row>
    <row r="118" spans="1:5">
      <c r="A118">
        <v>24109246</v>
      </c>
      <c r="E118" s="2"/>
    </row>
    <row r="119" spans="1:5">
      <c r="A119">
        <v>24109237</v>
      </c>
      <c r="E119" s="2"/>
    </row>
    <row r="120" spans="1:5">
      <c r="A120">
        <v>24109178</v>
      </c>
      <c r="E120" s="2"/>
    </row>
    <row r="121" spans="1:5">
      <c r="A121">
        <v>24109167</v>
      </c>
      <c r="E121" s="2"/>
    </row>
    <row r="122" spans="1:5">
      <c r="A122">
        <v>24109164</v>
      </c>
      <c r="E122" s="2"/>
    </row>
    <row r="123" spans="1:5">
      <c r="A123">
        <v>24108878</v>
      </c>
      <c r="E123" s="2"/>
    </row>
    <row r="124" spans="1:5">
      <c r="A124">
        <v>24108845</v>
      </c>
      <c r="E124" s="2"/>
    </row>
    <row r="125" spans="1:5">
      <c r="A125">
        <v>24108769</v>
      </c>
      <c r="E125" s="2"/>
    </row>
    <row r="126" spans="1:5">
      <c r="A126">
        <v>24108726</v>
      </c>
      <c r="E126" s="2"/>
    </row>
    <row r="127" spans="1:5">
      <c r="A127">
        <v>24108719</v>
      </c>
      <c r="E127" s="2"/>
    </row>
    <row r="128" spans="1:5">
      <c r="A128">
        <v>24108453</v>
      </c>
      <c r="E128" s="2"/>
    </row>
    <row r="129" spans="1:5">
      <c r="A129">
        <v>24107948</v>
      </c>
      <c r="E129" s="2"/>
    </row>
    <row r="130" spans="1:5">
      <c r="A130">
        <v>24107769</v>
      </c>
      <c r="E130" s="2"/>
    </row>
    <row r="131" spans="1:5">
      <c r="A131">
        <v>24107011</v>
      </c>
      <c r="E131" s="2"/>
    </row>
    <row r="132" spans="1:5">
      <c r="A132">
        <v>24106225</v>
      </c>
      <c r="E132" s="2"/>
    </row>
    <row r="133" spans="1:5">
      <c r="A133">
        <v>24106224</v>
      </c>
      <c r="E133" s="2"/>
    </row>
    <row r="134" spans="1:5">
      <c r="A134">
        <v>24106223</v>
      </c>
      <c r="E134" s="2"/>
    </row>
    <row r="135" spans="1:5">
      <c r="A135">
        <v>24106222</v>
      </c>
      <c r="E135" s="2"/>
    </row>
    <row r="136" spans="1:5">
      <c r="A136">
        <v>24106221</v>
      </c>
      <c r="E136" s="2"/>
    </row>
    <row r="137" spans="1:5">
      <c r="A137">
        <v>24106220</v>
      </c>
      <c r="E137" s="2"/>
    </row>
    <row r="138" spans="1:5">
      <c r="A138">
        <v>24106164</v>
      </c>
      <c r="E138" s="2"/>
    </row>
    <row r="139" spans="1:5">
      <c r="A139">
        <v>24105860</v>
      </c>
      <c r="E139" s="2"/>
    </row>
    <row r="140" spans="1:5">
      <c r="A140">
        <v>24105664</v>
      </c>
      <c r="E140" s="2"/>
    </row>
    <row r="141" spans="1:5">
      <c r="A141">
        <v>24105364</v>
      </c>
      <c r="E141" s="2"/>
    </row>
    <row r="142" spans="1:5">
      <c r="A142">
        <v>24104551</v>
      </c>
      <c r="E142" s="2"/>
    </row>
    <row r="143" spans="1:5">
      <c r="A143">
        <v>24104244</v>
      </c>
      <c r="E143" s="2"/>
    </row>
    <row r="144" spans="1:5">
      <c r="A144">
        <v>24103393</v>
      </c>
      <c r="E144" s="2"/>
    </row>
    <row r="145" spans="1:5">
      <c r="A145">
        <v>24102626</v>
      </c>
      <c r="E145" s="2"/>
    </row>
    <row r="146" spans="1:5">
      <c r="A146">
        <v>24102356</v>
      </c>
      <c r="E146" s="2"/>
    </row>
    <row r="147" spans="1:5">
      <c r="A147">
        <v>24102037</v>
      </c>
      <c r="E147" s="2"/>
    </row>
    <row r="148" spans="1:5">
      <c r="A148">
        <v>24101729</v>
      </c>
      <c r="E148" s="2"/>
    </row>
    <row r="149" spans="1:5">
      <c r="A149">
        <v>24100427</v>
      </c>
      <c r="E149" s="2"/>
    </row>
    <row r="150" spans="1:5">
      <c r="A150">
        <v>24100405</v>
      </c>
      <c r="E150" s="2"/>
    </row>
    <row r="151" spans="1:5">
      <c r="A151">
        <v>24099027</v>
      </c>
      <c r="E151" s="2"/>
    </row>
    <row r="152" spans="1:5">
      <c r="A152">
        <v>24098610</v>
      </c>
      <c r="E152" s="2"/>
    </row>
    <row r="153" spans="1:5">
      <c r="A153">
        <v>24098581</v>
      </c>
      <c r="E153" s="2"/>
    </row>
    <row r="154" spans="1:5">
      <c r="A154">
        <v>24097009</v>
      </c>
      <c r="E154" s="2"/>
    </row>
    <row r="155" spans="1:5">
      <c r="A155">
        <v>24095261</v>
      </c>
      <c r="E155" s="2"/>
    </row>
    <row r="156" spans="1:5">
      <c r="A156">
        <v>24094782</v>
      </c>
      <c r="E156" s="2"/>
    </row>
    <row r="157" spans="1:5">
      <c r="A157">
        <v>24093263</v>
      </c>
      <c r="E157" s="2"/>
    </row>
    <row r="158" spans="1:5">
      <c r="A158">
        <v>24093261</v>
      </c>
      <c r="E158" s="2"/>
    </row>
    <row r="159" spans="1:5">
      <c r="A159">
        <v>24089739</v>
      </c>
      <c r="E159" s="2"/>
    </row>
    <row r="160" spans="1:5">
      <c r="A160">
        <v>24077435</v>
      </c>
      <c r="E160" s="2"/>
    </row>
    <row r="161" spans="1:5">
      <c r="A161">
        <v>24062744</v>
      </c>
      <c r="E161" s="2"/>
    </row>
    <row r="162" spans="1:5">
      <c r="A162">
        <v>24055831</v>
      </c>
      <c r="E162" s="2"/>
    </row>
    <row r="163" spans="1:5">
      <c r="A163">
        <v>24037244</v>
      </c>
      <c r="E163" s="2"/>
    </row>
    <row r="164" spans="1:5">
      <c r="A164">
        <v>24037240</v>
      </c>
      <c r="E164" s="2"/>
    </row>
    <row r="165" spans="1:5">
      <c r="A165">
        <v>24037235</v>
      </c>
      <c r="E165" s="2"/>
    </row>
    <row r="166" spans="1:5">
      <c r="A166">
        <v>24036049</v>
      </c>
      <c r="E166" s="2"/>
    </row>
    <row r="167" spans="1:5">
      <c r="A167">
        <v>24031450</v>
      </c>
      <c r="E167" s="2"/>
    </row>
    <row r="168" spans="1:5">
      <c r="A168">
        <v>24005719</v>
      </c>
      <c r="E168" s="2"/>
    </row>
    <row r="169" spans="1:5">
      <c r="A169">
        <v>24002426</v>
      </c>
      <c r="E169" s="2"/>
    </row>
    <row r="170" spans="1:5">
      <c r="A170">
        <v>23105893</v>
      </c>
      <c r="E170" s="2"/>
    </row>
    <row r="171" spans="1:5">
      <c r="A171">
        <v>23105890</v>
      </c>
      <c r="E171" s="2"/>
    </row>
    <row r="172" spans="1:5">
      <c r="A172">
        <v>23105887</v>
      </c>
      <c r="E172" s="2"/>
    </row>
    <row r="173" spans="1:5">
      <c r="A173">
        <v>23105886</v>
      </c>
      <c r="E173" s="2"/>
    </row>
    <row r="174" spans="1:5">
      <c r="A174">
        <v>23105882</v>
      </c>
      <c r="E174" s="2"/>
    </row>
    <row r="175" spans="1:5">
      <c r="A175">
        <v>23086832</v>
      </c>
      <c r="E175" s="2"/>
    </row>
    <row r="176" spans="1:5">
      <c r="A176">
        <v>23085766</v>
      </c>
      <c r="E176" s="2"/>
    </row>
    <row r="177" spans="1:5">
      <c r="A177">
        <v>23050487</v>
      </c>
      <c r="E177" s="2"/>
    </row>
    <row r="178" spans="1:5">
      <c r="A178">
        <v>23044996</v>
      </c>
      <c r="E178" s="2"/>
    </row>
    <row r="179" spans="1:5">
      <c r="A179">
        <v>23021840</v>
      </c>
      <c r="E179" s="2"/>
    </row>
    <row r="180" spans="1:5">
      <c r="A180">
        <v>23020783</v>
      </c>
      <c r="E180" s="2"/>
    </row>
    <row r="181" spans="1:5">
      <c r="A181">
        <v>23002097</v>
      </c>
      <c r="E181" s="2"/>
    </row>
    <row r="182" spans="1:5">
      <c r="A182">
        <v>22132597</v>
      </c>
      <c r="E182" s="2"/>
    </row>
    <row r="183" spans="1:5">
      <c r="A183">
        <v>22127932</v>
      </c>
      <c r="E183" s="2"/>
    </row>
    <row r="184" spans="1:5">
      <c r="A184">
        <v>22106682</v>
      </c>
      <c r="E184" s="2"/>
    </row>
    <row r="185" spans="1:5">
      <c r="A185">
        <v>22106561</v>
      </c>
      <c r="E185" s="2"/>
    </row>
    <row r="186" spans="1:5">
      <c r="A186">
        <v>22084801</v>
      </c>
      <c r="E186" s="2"/>
    </row>
    <row r="187" spans="1:5">
      <c r="A187">
        <v>22071047</v>
      </c>
      <c r="E187" s="2"/>
    </row>
    <row r="188" spans="1:5">
      <c r="A188">
        <v>22066626</v>
      </c>
      <c r="E188" s="2"/>
    </row>
    <row r="189" spans="1:5">
      <c r="A189">
        <v>22057434</v>
      </c>
      <c r="E189" s="2"/>
    </row>
    <row r="190" spans="1:5">
      <c r="A190">
        <v>22054729</v>
      </c>
      <c r="E190" s="2"/>
    </row>
    <row r="191" spans="1:5">
      <c r="A191">
        <v>22047363</v>
      </c>
      <c r="E191" s="2"/>
    </row>
    <row r="192" spans="1:5">
      <c r="A192">
        <v>22044003</v>
      </c>
      <c r="E192" s="2"/>
    </row>
    <row r="193" spans="1:5">
      <c r="A193">
        <v>22042452</v>
      </c>
      <c r="E193" s="2"/>
    </row>
    <row r="194" spans="1:5">
      <c r="A194">
        <v>22040235</v>
      </c>
      <c r="E194" s="2"/>
    </row>
    <row r="195" spans="1:5">
      <c r="A195">
        <v>22031559</v>
      </c>
      <c r="E195" s="2"/>
    </row>
    <row r="196" spans="1:5">
      <c r="A196">
        <v>22009807</v>
      </c>
      <c r="E196" s="2"/>
    </row>
    <row r="197" spans="1:5">
      <c r="A197">
        <v>22008022</v>
      </c>
      <c r="E197" s="2"/>
    </row>
    <row r="198" spans="1:5">
      <c r="A198">
        <v>22006432</v>
      </c>
      <c r="E198" s="2"/>
    </row>
    <row r="199" spans="1:5">
      <c r="A199">
        <v>21138378</v>
      </c>
      <c r="E199" s="2"/>
    </row>
    <row r="200" spans="1:5">
      <c r="A200">
        <v>21134312</v>
      </c>
      <c r="E200" s="2"/>
    </row>
    <row r="201" spans="1:5">
      <c r="A201">
        <v>21111429</v>
      </c>
      <c r="E201" s="2"/>
    </row>
    <row r="202" spans="1:5">
      <c r="A202">
        <v>21101824</v>
      </c>
      <c r="E202" s="2"/>
    </row>
    <row r="203" spans="1:5">
      <c r="A203">
        <v>21098230</v>
      </c>
      <c r="E203" s="2"/>
    </row>
    <row r="204" spans="1:5">
      <c r="A204">
        <v>21096642</v>
      </c>
      <c r="E204" s="2"/>
    </row>
    <row r="205" spans="1:5">
      <c r="A205">
        <v>21086047</v>
      </c>
      <c r="E205" s="2"/>
    </row>
    <row r="206" spans="1:5">
      <c r="A206">
        <v>21067003</v>
      </c>
      <c r="E206" s="2"/>
    </row>
    <row r="207" spans="1:5">
      <c r="A207">
        <v>21049336</v>
      </c>
      <c r="E207" s="2"/>
    </row>
    <row r="208" spans="1:5">
      <c r="A208">
        <v>21043137</v>
      </c>
      <c r="E208" s="2"/>
    </row>
    <row r="209" spans="1:5">
      <c r="A209">
        <v>21042972</v>
      </c>
      <c r="E209" s="2"/>
    </row>
    <row r="210" spans="1:5">
      <c r="A210">
        <v>21042725</v>
      </c>
      <c r="E210" s="2"/>
    </row>
    <row r="211" spans="1:5">
      <c r="A211">
        <v>21038459</v>
      </c>
      <c r="E211" s="2"/>
    </row>
    <row r="212" spans="1:5">
      <c r="A212">
        <v>21037568</v>
      </c>
      <c r="E212" s="2"/>
    </row>
    <row r="213" spans="1:5">
      <c r="A213">
        <v>21037434</v>
      </c>
      <c r="E213" s="2"/>
    </row>
    <row r="214" spans="1:5">
      <c r="A214">
        <v>21020748</v>
      </c>
      <c r="E214" s="2"/>
    </row>
    <row r="215" spans="1:5">
      <c r="A215">
        <v>20138136</v>
      </c>
      <c r="E215" s="2"/>
    </row>
    <row r="216" spans="1:5">
      <c r="A216">
        <v>20062137</v>
      </c>
      <c r="E216" s="2"/>
    </row>
    <row r="217" spans="1:5">
      <c r="A217">
        <v>20043813</v>
      </c>
      <c r="E217" s="2"/>
    </row>
    <row r="218" spans="1:5">
      <c r="A218">
        <v>20027141</v>
      </c>
      <c r="E218" s="2"/>
    </row>
    <row r="219" spans="1:5">
      <c r="A219">
        <v>20024106</v>
      </c>
      <c r="E219" s="2"/>
    </row>
    <row r="220" spans="1:5">
      <c r="A220">
        <v>20024097</v>
      </c>
      <c r="E220" s="2"/>
    </row>
    <row r="221" spans="1:5">
      <c r="A221">
        <v>20024089</v>
      </c>
      <c r="E221" s="2"/>
    </row>
    <row r="222" spans="1:5">
      <c r="A222">
        <v>20013021</v>
      </c>
      <c r="E222" s="2"/>
    </row>
    <row r="223" spans="1:5">
      <c r="A223">
        <v>20006021</v>
      </c>
      <c r="E223" s="2"/>
    </row>
    <row r="224" spans="1:5">
      <c r="A224">
        <v>19141784</v>
      </c>
      <c r="E224" s="2"/>
    </row>
    <row r="225" spans="1:5">
      <c r="A225">
        <v>19123585</v>
      </c>
      <c r="E225" s="2"/>
    </row>
    <row r="226" spans="1:5">
      <c r="A226">
        <v>19120277</v>
      </c>
      <c r="E226" s="2"/>
    </row>
    <row r="227" spans="1:5">
      <c r="A227">
        <v>19119314</v>
      </c>
      <c r="E227" s="2"/>
    </row>
    <row r="228" spans="1:5">
      <c r="A228">
        <v>19115773</v>
      </c>
      <c r="E228" s="2"/>
    </row>
    <row r="229" spans="1:5">
      <c r="A229">
        <v>19115772</v>
      </c>
      <c r="E229" s="2"/>
    </row>
    <row r="230" spans="1:5">
      <c r="A230">
        <v>19104661</v>
      </c>
      <c r="E230" s="2"/>
    </row>
    <row r="231" spans="1:5">
      <c r="A231">
        <v>19088514</v>
      </c>
      <c r="E231" s="2"/>
    </row>
    <row r="232" spans="1:5">
      <c r="A232">
        <v>19052834</v>
      </c>
      <c r="E232" s="2"/>
    </row>
    <row r="233" spans="1:5">
      <c r="A233">
        <v>18072547</v>
      </c>
      <c r="E233" s="2"/>
    </row>
    <row r="234" spans="1:5">
      <c r="A234">
        <v>18069076</v>
      </c>
      <c r="E234" s="2"/>
    </row>
    <row r="235" spans="1:5">
      <c r="A235">
        <v>18066194</v>
      </c>
      <c r="E235" s="2"/>
    </row>
    <row r="236" spans="1:5">
      <c r="A236">
        <v>18060973</v>
      </c>
      <c r="E236" s="2"/>
    </row>
    <row r="237" spans="1:5">
      <c r="A237">
        <v>18040146</v>
      </c>
      <c r="E237" s="2"/>
    </row>
    <row r="238" spans="1:5">
      <c r="A238">
        <v>18037269</v>
      </c>
      <c r="E238" s="2"/>
    </row>
    <row r="239" spans="1:5">
      <c r="A239">
        <v>18037251</v>
      </c>
      <c r="E239" s="2"/>
    </row>
    <row r="240" spans="1:5">
      <c r="A240">
        <v>18008472</v>
      </c>
      <c r="E240" s="2"/>
    </row>
    <row r="241" spans="1:5">
      <c r="A241">
        <v>17093963</v>
      </c>
      <c r="E241" s="2"/>
    </row>
    <row r="242" spans="1:5">
      <c r="A242">
        <v>17088697</v>
      </c>
      <c r="E242" s="2"/>
    </row>
    <row r="243" spans="1:5">
      <c r="A243">
        <v>17081111</v>
      </c>
      <c r="E243" s="2"/>
    </row>
    <row r="244" spans="1:5">
      <c r="A244">
        <v>17052059</v>
      </c>
      <c r="E244" s="2"/>
    </row>
    <row r="245" spans="1:5">
      <c r="A245">
        <v>17040267</v>
      </c>
      <c r="E245" s="2"/>
    </row>
    <row r="246" spans="1:5">
      <c r="A246">
        <v>16046711</v>
      </c>
      <c r="E246" s="2"/>
    </row>
    <row r="247" spans="1:5">
      <c r="A247">
        <v>16007990</v>
      </c>
      <c r="E247" s="2"/>
    </row>
    <row r="248" spans="1:5">
      <c r="A248">
        <v>15087900</v>
      </c>
      <c r="E248" s="2"/>
    </row>
    <row r="249" spans="1:5">
      <c r="A249">
        <v>15067917</v>
      </c>
      <c r="E249" s="2"/>
    </row>
    <row r="250" spans="1:5">
      <c r="A250">
        <v>15063627</v>
      </c>
      <c r="E250" s="2"/>
    </row>
    <row r="251" spans="1:5">
      <c r="A251">
        <v>15051764</v>
      </c>
      <c r="E251" s="2"/>
    </row>
    <row r="252" spans="1:5">
      <c r="A252">
        <v>15003131</v>
      </c>
      <c r="E252" s="2"/>
    </row>
    <row r="253" spans="1:5">
      <c r="A253">
        <v>13061130</v>
      </c>
      <c r="E253" s="2"/>
    </row>
    <row r="254" spans="1:5">
      <c r="A254">
        <v>13037502</v>
      </c>
      <c r="E254" s="2"/>
    </row>
    <row r="255" spans="1:5">
      <c r="A255">
        <v>12105278</v>
      </c>
      <c r="E255" s="2"/>
    </row>
    <row r="256" spans="1:5">
      <c r="A256">
        <v>12065395</v>
      </c>
      <c r="E256" s="2"/>
    </row>
    <row r="257" spans="1:7">
      <c r="A257">
        <v>12056745</v>
      </c>
      <c r="E257" s="2"/>
    </row>
    <row r="258" spans="1:7">
      <c r="A258">
        <v>12023981</v>
      </c>
      <c r="E258" s="2"/>
    </row>
    <row r="259" spans="1:7">
      <c r="A259">
        <v>12012036</v>
      </c>
      <c r="E259" s="2"/>
    </row>
    <row r="260" spans="1:7">
      <c r="A260">
        <v>24111175</v>
      </c>
      <c r="E260" s="2"/>
    </row>
    <row r="261" spans="1:7">
      <c r="A261">
        <v>24111173</v>
      </c>
      <c r="E261" s="2"/>
    </row>
    <row r="262" spans="1:7">
      <c r="A262">
        <v>99999999</v>
      </c>
      <c r="E262" s="2"/>
    </row>
    <row r="263" spans="1:7">
      <c r="A263">
        <v>99999999</v>
      </c>
      <c r="E263" s="2"/>
    </row>
    <row r="264" spans="1:7">
      <c r="A264">
        <v>24111178</v>
      </c>
      <c r="B264" t="s">
        <v>144</v>
      </c>
      <c r="C264" t="s">
        <v>71</v>
      </c>
      <c r="D264" t="s">
        <v>145</v>
      </c>
      <c r="E264" s="2">
        <v>45606</v>
      </c>
      <c r="F264" t="s">
        <v>45</v>
      </c>
      <c r="G264" t="s">
        <v>46</v>
      </c>
    </row>
    <row r="265" spans="1:7">
      <c r="E265" s="2"/>
    </row>
    <row r="266" spans="1:7">
      <c r="E266" s="2"/>
    </row>
    <row r="267" spans="1:7">
      <c r="E267" s="2"/>
    </row>
    <row r="268" spans="1:7">
      <c r="E268" s="2"/>
    </row>
    <row r="269" spans="1:7">
      <c r="E269" s="2"/>
    </row>
    <row r="270" spans="1:7">
      <c r="E270" s="2"/>
    </row>
    <row r="271" spans="1:7">
      <c r="E271" s="2"/>
    </row>
    <row r="272" spans="1:7">
      <c r="E272" s="2"/>
    </row>
    <row r="273" spans="5:5">
      <c r="E273" s="2"/>
    </row>
    <row r="274" spans="5:5">
      <c r="E274" s="2"/>
    </row>
    <row r="275" spans="5:5">
      <c r="E275" s="2"/>
    </row>
    <row r="276" spans="5:5">
      <c r="E276" s="2"/>
    </row>
    <row r="277" spans="5:5">
      <c r="E277" s="2"/>
    </row>
    <row r="278" spans="5:5">
      <c r="E278" s="2"/>
    </row>
    <row r="279" spans="5:5">
      <c r="E279" s="2"/>
    </row>
    <row r="280" spans="5:5">
      <c r="E280" s="2"/>
    </row>
    <row r="281" spans="5:5">
      <c r="E281" s="2"/>
    </row>
    <row r="282" spans="5:5">
      <c r="E282" s="2"/>
    </row>
    <row r="283" spans="5:5">
      <c r="E283" s="2"/>
    </row>
    <row r="284" spans="5:5">
      <c r="E284" s="2"/>
    </row>
    <row r="285" spans="5:5">
      <c r="E285" s="2"/>
    </row>
    <row r="286" spans="5:5">
      <c r="E286" s="2"/>
    </row>
    <row r="287" spans="5:5">
      <c r="E287" s="2"/>
    </row>
    <row r="288" spans="5:5">
      <c r="E288" s="2"/>
    </row>
    <row r="289" spans="5:5">
      <c r="E289" s="2"/>
    </row>
    <row r="290" spans="5:5">
      <c r="E290" s="2"/>
    </row>
    <row r="291" spans="5:5">
      <c r="E291" s="2"/>
    </row>
    <row r="292" spans="5:5">
      <c r="E292" s="2"/>
    </row>
    <row r="293" spans="5:5">
      <c r="E293" s="2"/>
    </row>
    <row r="294" spans="5:5">
      <c r="E294" s="2"/>
    </row>
    <row r="295" spans="5:5">
      <c r="E295" s="2"/>
    </row>
    <row r="296" spans="5:5">
      <c r="E296" s="2"/>
    </row>
    <row r="297" spans="5:5">
      <c r="E297" s="2"/>
    </row>
    <row r="298" spans="5:5">
      <c r="E298" s="2"/>
    </row>
    <row r="299" spans="5:5">
      <c r="E299" s="2"/>
    </row>
    <row r="300" spans="5:5">
      <c r="E300" s="2"/>
    </row>
    <row r="301" spans="5:5">
      <c r="E301" s="2"/>
    </row>
    <row r="302" spans="5:5">
      <c r="E302" s="2"/>
    </row>
    <row r="303" spans="5:5">
      <c r="E303" s="2"/>
    </row>
    <row r="304" spans="5:5">
      <c r="E304" s="2"/>
    </row>
    <row r="305" spans="5:5">
      <c r="E305" s="2"/>
    </row>
    <row r="306" spans="5:5">
      <c r="E306" s="2"/>
    </row>
    <row r="307" spans="5:5">
      <c r="E307" s="2"/>
    </row>
    <row r="308" spans="5:5">
      <c r="E308" s="2"/>
    </row>
    <row r="309" spans="5:5">
      <c r="E309" s="2"/>
    </row>
    <row r="310" spans="5:5">
      <c r="E310" s="2"/>
    </row>
    <row r="311" spans="5:5">
      <c r="E311" s="2"/>
    </row>
    <row r="312" spans="5:5">
      <c r="E312" s="2"/>
    </row>
    <row r="313" spans="5:5">
      <c r="E313" s="2"/>
    </row>
    <row r="314" spans="5:5">
      <c r="E314" s="2"/>
    </row>
    <row r="315" spans="5:5">
      <c r="E315" s="2"/>
    </row>
    <row r="316" spans="5:5">
      <c r="E316" s="2"/>
    </row>
    <row r="317" spans="5:5">
      <c r="E317" s="2"/>
    </row>
    <row r="318" spans="5:5">
      <c r="E318" s="2"/>
    </row>
    <row r="319" spans="5:5">
      <c r="E319" s="2"/>
    </row>
    <row r="320" spans="5:5">
      <c r="E320" s="2"/>
    </row>
    <row r="321" spans="5:5">
      <c r="E321" s="2"/>
    </row>
    <row r="322" spans="5:5">
      <c r="E322" s="2"/>
    </row>
    <row r="323" spans="5:5">
      <c r="E323" s="2"/>
    </row>
    <row r="324" spans="5:5">
      <c r="E324" s="2"/>
    </row>
    <row r="325" spans="5:5">
      <c r="E325" s="2"/>
    </row>
    <row r="326" spans="5:5">
      <c r="E326" s="2"/>
    </row>
    <row r="327" spans="5:5">
      <c r="E327" s="2"/>
    </row>
    <row r="328" spans="5:5">
      <c r="E328" s="2"/>
    </row>
    <row r="329" spans="5:5">
      <c r="E329" s="2"/>
    </row>
    <row r="330" spans="5:5">
      <c r="E330" s="2"/>
    </row>
    <row r="331" spans="5:5">
      <c r="E331" s="2"/>
    </row>
    <row r="332" spans="5:5">
      <c r="E332" s="2"/>
    </row>
    <row r="333" spans="5:5">
      <c r="E333" s="2"/>
    </row>
    <row r="334" spans="5:5">
      <c r="E334" s="2"/>
    </row>
    <row r="335" spans="5:5">
      <c r="E335" s="2"/>
    </row>
    <row r="336" spans="5:5">
      <c r="E336" s="2"/>
    </row>
    <row r="337" spans="5:5">
      <c r="E337" s="2"/>
    </row>
    <row r="338" spans="5:5">
      <c r="E338" s="2"/>
    </row>
    <row r="339" spans="5:5">
      <c r="E339" s="2"/>
    </row>
    <row r="340" spans="5:5">
      <c r="E340" s="2"/>
    </row>
    <row r="341" spans="5:5">
      <c r="E341" s="2"/>
    </row>
    <row r="342" spans="5:5">
      <c r="E342" s="2"/>
    </row>
    <row r="343" spans="5:5">
      <c r="E343" s="2"/>
    </row>
    <row r="344" spans="5:5">
      <c r="E344" s="2"/>
    </row>
    <row r="345" spans="5:5">
      <c r="E345" s="2"/>
    </row>
    <row r="346" spans="5:5">
      <c r="E346" s="2"/>
    </row>
    <row r="347" spans="5:5">
      <c r="E347" s="2"/>
    </row>
    <row r="348" spans="5:5">
      <c r="E348" s="2"/>
    </row>
    <row r="349" spans="5:5">
      <c r="E349" s="2"/>
    </row>
    <row r="350" spans="5:5">
      <c r="E350" s="2"/>
    </row>
    <row r="351" spans="5:5">
      <c r="E351" s="2"/>
    </row>
    <row r="352" spans="5:5">
      <c r="E352" s="2"/>
    </row>
    <row r="353" spans="5:5">
      <c r="E353" s="2"/>
    </row>
    <row r="354" spans="5:5">
      <c r="E354" s="2"/>
    </row>
    <row r="355" spans="5:5">
      <c r="E355" s="2"/>
    </row>
    <row r="356" spans="5:5">
      <c r="E356" s="2"/>
    </row>
    <row r="357" spans="5:5">
      <c r="E357" s="2"/>
    </row>
    <row r="358" spans="5:5">
      <c r="E358" s="2"/>
    </row>
    <row r="359" spans="5:5">
      <c r="E359" s="2"/>
    </row>
    <row r="360" spans="5:5">
      <c r="E360" s="2"/>
    </row>
    <row r="361" spans="5:5">
      <c r="E361" s="2"/>
    </row>
    <row r="362" spans="5:5">
      <c r="E362" s="2"/>
    </row>
    <row r="363" spans="5:5">
      <c r="E363" s="2"/>
    </row>
    <row r="364" spans="5:5">
      <c r="E364" s="2"/>
    </row>
    <row r="365" spans="5:5">
      <c r="E365" s="2"/>
    </row>
    <row r="366" spans="5:5">
      <c r="E366" s="2"/>
    </row>
    <row r="367" spans="5:5">
      <c r="E367" s="2"/>
    </row>
    <row r="368" spans="5:5">
      <c r="E368" s="2"/>
    </row>
    <row r="369" spans="5:5">
      <c r="E369" s="2"/>
    </row>
    <row r="370" spans="5:5">
      <c r="E370" s="2"/>
    </row>
    <row r="371" spans="5:5">
      <c r="E371" s="2"/>
    </row>
    <row r="372" spans="5:5">
      <c r="E372" s="2"/>
    </row>
    <row r="373" spans="5:5">
      <c r="E373" s="2"/>
    </row>
    <row r="374" spans="5:5">
      <c r="E374" s="2"/>
    </row>
    <row r="375" spans="5:5">
      <c r="E375" s="2"/>
    </row>
    <row r="376" spans="5:5">
      <c r="E376" s="2"/>
    </row>
    <row r="377" spans="5:5">
      <c r="E377" s="2"/>
    </row>
    <row r="378" spans="5:5">
      <c r="E378" s="2"/>
    </row>
    <row r="379" spans="5:5">
      <c r="E379" s="2"/>
    </row>
    <row r="380" spans="5:5">
      <c r="E380" s="2"/>
    </row>
    <row r="381" spans="5:5">
      <c r="E381" s="2"/>
    </row>
    <row r="382" spans="5:5">
      <c r="E382" s="2"/>
    </row>
    <row r="383" spans="5:5">
      <c r="E383" s="2"/>
    </row>
    <row r="384" spans="5:5">
      <c r="E384" s="2"/>
    </row>
    <row r="385" spans="5:5">
      <c r="E385" s="2"/>
    </row>
    <row r="386" spans="5:5">
      <c r="E386" s="2"/>
    </row>
    <row r="387" spans="5:5">
      <c r="E387" s="2"/>
    </row>
    <row r="388" spans="5:5">
      <c r="E388" s="2"/>
    </row>
    <row r="389" spans="5:5">
      <c r="E389" s="2"/>
    </row>
    <row r="390" spans="5:5">
      <c r="E390" s="2"/>
    </row>
    <row r="391" spans="5:5">
      <c r="E391" s="2"/>
    </row>
    <row r="392" spans="5:5">
      <c r="E392" s="2"/>
    </row>
    <row r="393" spans="5:5">
      <c r="E393" s="2"/>
    </row>
    <row r="394" spans="5:5">
      <c r="E394" s="2"/>
    </row>
    <row r="395" spans="5:5">
      <c r="E395" s="2"/>
    </row>
    <row r="396" spans="5:5">
      <c r="E396" s="2"/>
    </row>
    <row r="397" spans="5:5">
      <c r="E397" s="2"/>
    </row>
    <row r="398" spans="5:5">
      <c r="E398" s="2"/>
    </row>
    <row r="399" spans="5:5">
      <c r="E399" s="2"/>
    </row>
    <row r="400" spans="5:5">
      <c r="E400" s="2"/>
    </row>
    <row r="401" spans="5:5">
      <c r="E401" s="2"/>
    </row>
    <row r="402" spans="5:5">
      <c r="E402" s="2"/>
    </row>
    <row r="403" spans="5:5">
      <c r="E403" s="2"/>
    </row>
    <row r="404" spans="5:5">
      <c r="E404" s="2"/>
    </row>
    <row r="405" spans="5:5">
      <c r="E405" s="2"/>
    </row>
    <row r="406" spans="5:5">
      <c r="E406" s="2"/>
    </row>
    <row r="407" spans="5:5">
      <c r="E407" s="2"/>
    </row>
    <row r="408" spans="5:5">
      <c r="E408" s="2"/>
    </row>
    <row r="409" spans="5:5">
      <c r="E409" s="2"/>
    </row>
    <row r="410" spans="5:5">
      <c r="E410" s="2"/>
    </row>
    <row r="411" spans="5:5">
      <c r="E411" s="2"/>
    </row>
    <row r="412" spans="5:5">
      <c r="E412" s="2"/>
    </row>
    <row r="413" spans="5:5">
      <c r="E413" s="2"/>
    </row>
    <row r="414" spans="5:5">
      <c r="E414" s="2"/>
    </row>
    <row r="415" spans="5:5">
      <c r="E415" s="2"/>
    </row>
    <row r="416" spans="5:5">
      <c r="E416" s="2"/>
    </row>
    <row r="417" spans="5:5">
      <c r="E417" s="2"/>
    </row>
    <row r="418" spans="5:5">
      <c r="E418" s="2"/>
    </row>
    <row r="419" spans="5:5">
      <c r="E419" s="2"/>
    </row>
    <row r="420" spans="5:5">
      <c r="E420" s="2"/>
    </row>
    <row r="421" spans="5:5">
      <c r="E421" s="2"/>
    </row>
    <row r="422" spans="5:5">
      <c r="E422" s="2"/>
    </row>
    <row r="423" spans="5:5">
      <c r="E423" s="2"/>
    </row>
    <row r="424" spans="5:5">
      <c r="E424" s="2"/>
    </row>
    <row r="425" spans="5:5">
      <c r="E425" s="2"/>
    </row>
    <row r="426" spans="5:5">
      <c r="E426" s="2"/>
    </row>
    <row r="427" spans="5:5">
      <c r="E427" s="2"/>
    </row>
    <row r="428" spans="5:5">
      <c r="E428" s="2"/>
    </row>
    <row r="429" spans="5:5">
      <c r="E429" s="2"/>
    </row>
    <row r="430" spans="5:5">
      <c r="E430" s="2"/>
    </row>
    <row r="431" spans="5:5">
      <c r="E431" s="2"/>
    </row>
    <row r="432" spans="5:5">
      <c r="E432" s="2"/>
    </row>
    <row r="433" spans="5:5">
      <c r="E433" s="2"/>
    </row>
    <row r="434" spans="5:5">
      <c r="E434" s="2"/>
    </row>
    <row r="435" spans="5:5">
      <c r="E435" s="2"/>
    </row>
    <row r="436" spans="5:5">
      <c r="E436" s="2"/>
    </row>
    <row r="437" spans="5:5">
      <c r="E437" s="2"/>
    </row>
    <row r="438" spans="5:5">
      <c r="E438" s="2"/>
    </row>
    <row r="439" spans="5:5">
      <c r="E439" s="2"/>
    </row>
    <row r="440" spans="5:5">
      <c r="E440" s="2"/>
    </row>
    <row r="441" spans="5:5">
      <c r="E441" s="2"/>
    </row>
    <row r="442" spans="5:5">
      <c r="E442" s="2"/>
    </row>
    <row r="443" spans="5:5">
      <c r="E443" s="2"/>
    </row>
    <row r="444" spans="5:5">
      <c r="E444" s="2"/>
    </row>
    <row r="445" spans="5:5">
      <c r="E445" s="2"/>
    </row>
    <row r="446" spans="5:5">
      <c r="E446" s="2"/>
    </row>
    <row r="447" spans="5:5">
      <c r="E447" s="2"/>
    </row>
    <row r="448" spans="5:5">
      <c r="E448" s="2"/>
    </row>
    <row r="449" spans="5:5">
      <c r="E449" s="2"/>
    </row>
    <row r="450" spans="5:5">
      <c r="E450" s="2"/>
    </row>
    <row r="451" spans="5:5">
      <c r="E451" s="2"/>
    </row>
    <row r="452" spans="5:5">
      <c r="E452" s="2"/>
    </row>
    <row r="453" spans="5:5">
      <c r="E453" s="2"/>
    </row>
    <row r="454" spans="5:5">
      <c r="E454" s="2"/>
    </row>
    <row r="455" spans="5:5">
      <c r="E455" s="2"/>
    </row>
    <row r="456" spans="5:5">
      <c r="E456" s="2"/>
    </row>
    <row r="457" spans="5:5">
      <c r="E457" s="2"/>
    </row>
    <row r="458" spans="5:5">
      <c r="E458" s="2"/>
    </row>
    <row r="459" spans="5:5">
      <c r="E459" s="2"/>
    </row>
    <row r="460" spans="5:5">
      <c r="E460" s="2"/>
    </row>
    <row r="461" spans="5:5">
      <c r="E461" s="2"/>
    </row>
    <row r="462" spans="5:5">
      <c r="E462" s="2"/>
    </row>
    <row r="463" spans="5:5">
      <c r="E463" s="2"/>
    </row>
    <row r="464" spans="5:5">
      <c r="E464" s="2"/>
    </row>
    <row r="465" spans="5:5">
      <c r="E465" s="2"/>
    </row>
    <row r="466" spans="5:5">
      <c r="E466" s="2"/>
    </row>
    <row r="467" spans="5:5">
      <c r="E467" s="2"/>
    </row>
    <row r="468" spans="5:5">
      <c r="E468" s="2"/>
    </row>
    <row r="469" spans="5:5">
      <c r="E469" s="2"/>
    </row>
    <row r="470" spans="5:5">
      <c r="E470" s="2"/>
    </row>
    <row r="471" spans="5:5">
      <c r="E471" s="2"/>
    </row>
    <row r="472" spans="5:5">
      <c r="E472" s="2"/>
    </row>
    <row r="473" spans="5:5">
      <c r="E473" s="2"/>
    </row>
    <row r="474" spans="5:5">
      <c r="E474" s="2"/>
    </row>
    <row r="475" spans="5:5">
      <c r="E475" s="2"/>
    </row>
    <row r="476" spans="5:5">
      <c r="E476" s="2"/>
    </row>
    <row r="477" spans="5:5">
      <c r="E477" s="2"/>
    </row>
    <row r="478" spans="5:5">
      <c r="E478" s="2"/>
    </row>
    <row r="479" spans="5:5">
      <c r="E479" s="2"/>
    </row>
    <row r="480" spans="5:5">
      <c r="E480" s="2"/>
    </row>
    <row r="481" spans="5:5">
      <c r="E481" s="2"/>
    </row>
    <row r="482" spans="5:5">
      <c r="E482" s="2"/>
    </row>
    <row r="483" spans="5:5">
      <c r="E483" s="2"/>
    </row>
    <row r="484" spans="5:5">
      <c r="E484" s="2"/>
    </row>
    <row r="485" spans="5:5">
      <c r="E485" s="2"/>
    </row>
    <row r="486" spans="5:5">
      <c r="E486" s="2"/>
    </row>
    <row r="487" spans="5:5">
      <c r="E487" s="2"/>
    </row>
    <row r="488" spans="5:5">
      <c r="E488" s="2"/>
    </row>
    <row r="489" spans="5:5">
      <c r="E489" s="2"/>
    </row>
    <row r="490" spans="5:5">
      <c r="E490" s="2"/>
    </row>
    <row r="491" spans="5:5">
      <c r="E491" s="2"/>
    </row>
    <row r="492" spans="5:5">
      <c r="E492" s="2"/>
    </row>
    <row r="493" spans="5:5">
      <c r="E493" s="2"/>
    </row>
    <row r="494" spans="5:5">
      <c r="E494" s="2"/>
    </row>
    <row r="495" spans="5:5">
      <c r="E495" s="2"/>
    </row>
    <row r="496" spans="5:5">
      <c r="E496" s="2"/>
    </row>
    <row r="497" spans="5:5">
      <c r="E497" s="2"/>
    </row>
    <row r="498" spans="5:5">
      <c r="E498" s="2"/>
    </row>
    <row r="499" spans="5:5">
      <c r="E499" s="2"/>
    </row>
    <row r="500" spans="5:5">
      <c r="E500" s="2"/>
    </row>
    <row r="501" spans="5:5">
      <c r="E501" s="2"/>
    </row>
    <row r="502" spans="5:5">
      <c r="E502" s="2"/>
    </row>
    <row r="503" spans="5:5">
      <c r="E503" s="2"/>
    </row>
    <row r="504" spans="5:5">
      <c r="E504" s="2"/>
    </row>
    <row r="505" spans="5:5">
      <c r="E505" s="2"/>
    </row>
    <row r="506" spans="5:5">
      <c r="E506" s="2"/>
    </row>
    <row r="507" spans="5:5">
      <c r="E507" s="2"/>
    </row>
    <row r="508" spans="5:5">
      <c r="E508" s="2"/>
    </row>
    <row r="509" spans="5:5">
      <c r="E509" s="2"/>
    </row>
    <row r="510" spans="5:5">
      <c r="E510" s="2"/>
    </row>
    <row r="511" spans="5:5">
      <c r="E511" s="2"/>
    </row>
    <row r="512" spans="5:5">
      <c r="E512" s="2"/>
    </row>
    <row r="513" spans="5:5">
      <c r="E513" s="2"/>
    </row>
    <row r="514" spans="5:5">
      <c r="E514" s="2"/>
    </row>
    <row r="515" spans="5:5">
      <c r="E515" s="2"/>
    </row>
    <row r="516" spans="5:5">
      <c r="E516" s="2"/>
    </row>
    <row r="517" spans="5:5">
      <c r="E517" s="2"/>
    </row>
    <row r="518" spans="5:5">
      <c r="E518" s="2"/>
    </row>
    <row r="519" spans="5:5">
      <c r="E519" s="2"/>
    </row>
    <row r="520" spans="5:5">
      <c r="E520" s="2"/>
    </row>
    <row r="521" spans="5:5">
      <c r="E521" s="2"/>
    </row>
    <row r="522" spans="5:5">
      <c r="E522" s="2"/>
    </row>
    <row r="523" spans="5:5">
      <c r="E523" s="2"/>
    </row>
    <row r="524" spans="5:5">
      <c r="E524" s="2"/>
    </row>
    <row r="525" spans="5:5">
      <c r="E525" s="2"/>
    </row>
    <row r="526" spans="5:5">
      <c r="E526" s="2"/>
    </row>
    <row r="527" spans="5:5">
      <c r="E527" s="2"/>
    </row>
    <row r="528" spans="5:5">
      <c r="E528" s="2"/>
    </row>
    <row r="529" spans="5:5">
      <c r="E529" s="2"/>
    </row>
    <row r="530" spans="5:5">
      <c r="E530" s="2"/>
    </row>
    <row r="531" spans="5:5">
      <c r="E531" s="2"/>
    </row>
    <row r="532" spans="5:5">
      <c r="E532" s="2"/>
    </row>
    <row r="533" spans="5:5">
      <c r="E533" s="2"/>
    </row>
    <row r="534" spans="5:5">
      <c r="E534" s="2"/>
    </row>
    <row r="535" spans="5:5">
      <c r="E535" s="2"/>
    </row>
    <row r="536" spans="5:5">
      <c r="E536" s="2"/>
    </row>
    <row r="537" spans="5:5">
      <c r="E537" s="2"/>
    </row>
    <row r="538" spans="5:5">
      <c r="E538" s="2"/>
    </row>
    <row r="539" spans="5:5">
      <c r="E539" s="2"/>
    </row>
    <row r="540" spans="5:5">
      <c r="E540" s="2"/>
    </row>
    <row r="541" spans="5:5">
      <c r="E541" s="2"/>
    </row>
    <row r="542" spans="5:5">
      <c r="E542" s="2"/>
    </row>
    <row r="543" spans="5:5">
      <c r="E543" s="2"/>
    </row>
    <row r="544" spans="5:5">
      <c r="E544" s="2"/>
    </row>
    <row r="545" spans="5:5">
      <c r="E545" s="2"/>
    </row>
    <row r="546" spans="5:5">
      <c r="E546" s="2"/>
    </row>
    <row r="547" spans="5:5">
      <c r="E547" s="2"/>
    </row>
    <row r="548" spans="5:5">
      <c r="E548" s="2"/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L8"/>
  <sheetViews>
    <sheetView workbookViewId="0">
      <selection activeCell="B30" sqref="B30"/>
    </sheetView>
  </sheetViews>
  <sheetFormatPr defaultColWidth="0" defaultRowHeight="18.75"/>
  <cols>
    <col min="1" max="11" width="9" customWidth="1"/>
    <col min="12" max="12" width="91.625" customWidth="1"/>
    <col min="13" max="16384" width="9" hidden="1"/>
  </cols>
  <sheetData>
    <row r="1" spans="1:12">
      <c r="A1" s="3" t="s">
        <v>0</v>
      </c>
      <c r="B1" s="4"/>
    </row>
    <row r="3" spans="1:12">
      <c r="A3" s="3" t="s">
        <v>9</v>
      </c>
      <c r="B3" s="3" t="s">
        <v>14</v>
      </c>
      <c r="C3" s="3" t="s">
        <v>15</v>
      </c>
      <c r="D3" s="3" t="s">
        <v>72</v>
      </c>
      <c r="E3" s="3" t="s">
        <v>73</v>
      </c>
      <c r="F3" s="3" t="s">
        <v>74</v>
      </c>
      <c r="G3" s="3" t="s">
        <v>75</v>
      </c>
      <c r="H3" s="3" t="s">
        <v>10</v>
      </c>
      <c r="I3" s="3" t="s">
        <v>11</v>
      </c>
      <c r="J3" s="3" t="s">
        <v>12</v>
      </c>
      <c r="K3" s="3" t="s">
        <v>13</v>
      </c>
      <c r="L3" s="3" t="s">
        <v>119</v>
      </c>
    </row>
    <row r="4" spans="1:12">
      <c r="L4" s="6"/>
    </row>
    <row r="5" spans="1:12">
      <c r="L5" s="6"/>
    </row>
    <row r="6" spans="1:12">
      <c r="L6" s="6"/>
    </row>
    <row r="8" spans="1:12">
      <c r="L8" s="6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X105"/>
  <sheetViews>
    <sheetView workbookViewId="0">
      <selection activeCell="B3" sqref="B3"/>
    </sheetView>
  </sheetViews>
  <sheetFormatPr defaultRowHeight="18.75"/>
  <cols>
    <col min="2" max="2" width="9.5" bestFit="1" customWidth="1"/>
  </cols>
  <sheetData>
    <row r="1" spans="1:24">
      <c r="A1" s="3" t="s">
        <v>0</v>
      </c>
      <c r="B1" s="4"/>
    </row>
    <row r="2" spans="1:24">
      <c r="A2" s="3" t="s">
        <v>9</v>
      </c>
      <c r="B2" s="4"/>
    </row>
    <row r="4" spans="1:24" ht="54">
      <c r="A4" s="5" t="s">
        <v>47</v>
      </c>
      <c r="B4" s="5" t="s">
        <v>48</v>
      </c>
      <c r="C4" s="5" t="s">
        <v>49</v>
      </c>
      <c r="D4" s="5" t="s">
        <v>50</v>
      </c>
      <c r="E4" s="5" t="s">
        <v>51</v>
      </c>
      <c r="F4" s="5" t="s">
        <v>52</v>
      </c>
      <c r="G4" s="5" t="s">
        <v>53</v>
      </c>
      <c r="H4" s="5" t="s">
        <v>54</v>
      </c>
      <c r="I4" s="5" t="s">
        <v>55</v>
      </c>
      <c r="J4" s="5" t="s">
        <v>56</v>
      </c>
      <c r="K4" s="5" t="s">
        <v>57</v>
      </c>
      <c r="L4" s="5" t="s">
        <v>58</v>
      </c>
      <c r="M4" s="5" t="s">
        <v>59</v>
      </c>
      <c r="N4" s="5" t="s">
        <v>60</v>
      </c>
      <c r="O4" s="5" t="s">
        <v>61</v>
      </c>
      <c r="P4" s="5" t="s">
        <v>62</v>
      </c>
      <c r="Q4" s="5" t="s">
        <v>63</v>
      </c>
      <c r="R4" s="5" t="s">
        <v>64</v>
      </c>
      <c r="S4" s="5" t="s">
        <v>65</v>
      </c>
      <c r="T4" s="5" t="s">
        <v>66</v>
      </c>
      <c r="U4" s="5" t="s">
        <v>67</v>
      </c>
      <c r="V4" s="5" t="s">
        <v>68</v>
      </c>
      <c r="W4" s="5" t="s">
        <v>69</v>
      </c>
      <c r="X4" s="5" t="s">
        <v>70</v>
      </c>
    </row>
    <row r="5" spans="1:24">
      <c r="A5" s="6"/>
      <c r="B5" s="6"/>
      <c r="C5" s="6"/>
      <c r="D5" s="6"/>
      <c r="E5" s="6"/>
      <c r="F5" s="6"/>
      <c r="G5" s="7"/>
      <c r="H5" s="7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1:24">
      <c r="G6" s="8"/>
      <c r="H6" s="8"/>
    </row>
    <row r="7" spans="1:24">
      <c r="F7" s="8"/>
      <c r="G7" s="8"/>
      <c r="H7" s="8"/>
    </row>
    <row r="8" spans="1:24">
      <c r="F8" s="8"/>
      <c r="G8" s="8"/>
      <c r="H8" s="8"/>
    </row>
    <row r="9" spans="1:24">
      <c r="F9" s="8"/>
      <c r="G9" s="8"/>
      <c r="H9" s="8"/>
    </row>
    <row r="10" spans="1:24">
      <c r="F10" s="8"/>
      <c r="G10" s="8"/>
      <c r="H10" s="8"/>
    </row>
    <row r="11" spans="1:24">
      <c r="G11" s="8"/>
      <c r="H11" s="8"/>
    </row>
    <row r="12" spans="1:24">
      <c r="F12" s="8"/>
      <c r="H12" s="8"/>
    </row>
    <row r="13" spans="1:24">
      <c r="F13" s="8"/>
      <c r="G13" s="8"/>
      <c r="H13" s="8"/>
    </row>
    <row r="14" spans="1:24">
      <c r="H14" s="8"/>
    </row>
    <row r="15" spans="1:24">
      <c r="H15" s="8"/>
    </row>
    <row r="16" spans="1:24">
      <c r="F16" s="8"/>
      <c r="H16" s="8"/>
    </row>
    <row r="17" spans="6:8">
      <c r="H17" s="8"/>
    </row>
    <row r="18" spans="6:8">
      <c r="H18" s="8"/>
    </row>
    <row r="19" spans="6:8">
      <c r="G19" s="8"/>
      <c r="H19" s="8"/>
    </row>
    <row r="20" spans="6:8">
      <c r="G20" s="8"/>
      <c r="H20" s="8"/>
    </row>
    <row r="21" spans="6:8">
      <c r="H21" s="8"/>
    </row>
    <row r="22" spans="6:8">
      <c r="H22" s="8"/>
    </row>
    <row r="23" spans="6:8">
      <c r="H23" s="8"/>
    </row>
    <row r="24" spans="6:8">
      <c r="F24" s="8"/>
      <c r="H24" s="8"/>
    </row>
    <row r="25" spans="6:8">
      <c r="H25" s="8"/>
    </row>
    <row r="26" spans="6:8">
      <c r="H26" s="8"/>
    </row>
    <row r="27" spans="6:8">
      <c r="H27" s="8"/>
    </row>
    <row r="28" spans="6:8">
      <c r="H28" s="8"/>
    </row>
    <row r="29" spans="6:8">
      <c r="F29" s="8"/>
      <c r="H29" s="8"/>
    </row>
    <row r="30" spans="6:8">
      <c r="F30" s="8"/>
      <c r="H30" s="8"/>
    </row>
    <row r="31" spans="6:8">
      <c r="H31" s="8"/>
    </row>
    <row r="32" spans="6:8">
      <c r="H32" s="8"/>
    </row>
    <row r="33" spans="8:8">
      <c r="H33" s="8"/>
    </row>
    <row r="34" spans="8:8">
      <c r="H34" s="8"/>
    </row>
    <row r="35" spans="8:8">
      <c r="H35" s="8"/>
    </row>
    <row r="36" spans="8:8">
      <c r="H36" s="8"/>
    </row>
    <row r="37" spans="8:8">
      <c r="H37" s="8"/>
    </row>
    <row r="38" spans="8:8">
      <c r="H38" s="8"/>
    </row>
    <row r="39" spans="8:8">
      <c r="H39" s="8"/>
    </row>
    <row r="40" spans="8:8">
      <c r="H40" s="8"/>
    </row>
    <row r="41" spans="8:8">
      <c r="H41" s="8"/>
    </row>
    <row r="42" spans="8:8">
      <c r="H42" s="8"/>
    </row>
    <row r="43" spans="8:8">
      <c r="H43" s="8"/>
    </row>
    <row r="44" spans="8:8">
      <c r="H44" s="8"/>
    </row>
    <row r="45" spans="8:8">
      <c r="H45" s="8"/>
    </row>
    <row r="46" spans="8:8">
      <c r="H46" s="8"/>
    </row>
    <row r="47" spans="8:8">
      <c r="H47" s="8"/>
    </row>
    <row r="48" spans="8:8">
      <c r="H48" s="8"/>
    </row>
    <row r="49" spans="8:8">
      <c r="H49" s="8"/>
    </row>
    <row r="50" spans="8:8">
      <c r="H50" s="8"/>
    </row>
    <row r="51" spans="8:8">
      <c r="H51" s="8"/>
    </row>
    <row r="52" spans="8:8">
      <c r="H52" s="8"/>
    </row>
    <row r="105" spans="8:8">
      <c r="H105" s="8"/>
    </row>
  </sheetData>
  <phoneticPr fontId="2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E298"/>
  <sheetViews>
    <sheetView workbookViewId="0"/>
  </sheetViews>
  <sheetFormatPr defaultRowHeight="18.75"/>
  <cols>
    <col min="2" max="2" width="9.5" bestFit="1" customWidth="1"/>
  </cols>
  <sheetData>
    <row r="1" spans="1:31">
      <c r="A1" t="s">
        <v>21</v>
      </c>
      <c r="B1" t="s">
        <v>0</v>
      </c>
      <c r="C1" t="s">
        <v>1</v>
      </c>
      <c r="D1" t="s">
        <v>22</v>
      </c>
      <c r="E1" t="s">
        <v>2</v>
      </c>
      <c r="F1" t="s">
        <v>3</v>
      </c>
      <c r="G1" t="s">
        <v>4</v>
      </c>
      <c r="H1" t="s">
        <v>23</v>
      </c>
      <c r="I1" t="s">
        <v>24</v>
      </c>
      <c r="J1" t="s">
        <v>5</v>
      </c>
      <c r="K1" t="s">
        <v>6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  <c r="R1" t="s">
        <v>31</v>
      </c>
      <c r="S1" t="s">
        <v>32</v>
      </c>
      <c r="T1" t="s">
        <v>33</v>
      </c>
      <c r="U1" t="s">
        <v>34</v>
      </c>
      <c r="V1" t="s">
        <v>35</v>
      </c>
      <c r="W1" t="s">
        <v>36</v>
      </c>
      <c r="X1" t="s">
        <v>37</v>
      </c>
      <c r="Y1" t="s">
        <v>38</v>
      </c>
      <c r="Z1" t="s">
        <v>39</v>
      </c>
      <c r="AA1" t="s">
        <v>40</v>
      </c>
      <c r="AB1" t="s">
        <v>41</v>
      </c>
      <c r="AC1" t="s">
        <v>42</v>
      </c>
      <c r="AD1" t="s">
        <v>43</v>
      </c>
      <c r="AE1" t="s">
        <v>44</v>
      </c>
    </row>
    <row r="2" spans="1:31">
      <c r="G2" s="2"/>
    </row>
    <row r="3" spans="1:31">
      <c r="G3" s="2"/>
    </row>
    <row r="4" spans="1:31">
      <c r="G4" s="2"/>
    </row>
    <row r="5" spans="1:31">
      <c r="G5" s="2"/>
    </row>
    <row r="6" spans="1:31">
      <c r="G6" s="2"/>
    </row>
    <row r="7" spans="1:31">
      <c r="G7" s="2"/>
    </row>
    <row r="8" spans="1:31">
      <c r="G8" s="2"/>
    </row>
    <row r="9" spans="1:31">
      <c r="G9" s="2"/>
    </row>
    <row r="10" spans="1:31">
      <c r="G10" s="2"/>
    </row>
    <row r="11" spans="1:31">
      <c r="G11" s="2"/>
    </row>
    <row r="12" spans="1:31">
      <c r="G12" s="2"/>
    </row>
    <row r="13" spans="1:31">
      <c r="G13" s="2"/>
    </row>
    <row r="14" spans="1:31">
      <c r="G14" s="2"/>
    </row>
    <row r="15" spans="1:31">
      <c r="G15" s="2"/>
    </row>
    <row r="16" spans="1:31">
      <c r="G16" s="2"/>
    </row>
    <row r="17" spans="7:7">
      <c r="G17" s="2"/>
    </row>
    <row r="18" spans="7:7">
      <c r="G18" s="2"/>
    </row>
    <row r="19" spans="7:7">
      <c r="G19" s="2"/>
    </row>
    <row r="20" spans="7:7">
      <c r="G20" s="2"/>
    </row>
    <row r="21" spans="7:7">
      <c r="G21" s="2"/>
    </row>
    <row r="22" spans="7:7">
      <c r="G22" s="2"/>
    </row>
    <row r="23" spans="7:7">
      <c r="G23" s="2"/>
    </row>
    <row r="24" spans="7:7">
      <c r="G24" s="2"/>
    </row>
    <row r="25" spans="7:7">
      <c r="G25" s="2"/>
    </row>
    <row r="26" spans="7:7">
      <c r="G26" s="2"/>
    </row>
    <row r="27" spans="7:7">
      <c r="G27" s="2"/>
    </row>
    <row r="28" spans="7:7">
      <c r="G28" s="2"/>
    </row>
    <row r="29" spans="7:7">
      <c r="G29" s="2"/>
    </row>
    <row r="30" spans="7:7">
      <c r="G30" s="2"/>
    </row>
    <row r="31" spans="7:7">
      <c r="G31" s="2"/>
    </row>
    <row r="32" spans="7:7">
      <c r="G32" s="2"/>
    </row>
    <row r="33" spans="7:7">
      <c r="G33" s="2"/>
    </row>
    <row r="34" spans="7:7">
      <c r="G34" s="2"/>
    </row>
    <row r="35" spans="7:7">
      <c r="G35" s="2"/>
    </row>
    <row r="36" spans="7:7">
      <c r="G36" s="2"/>
    </row>
    <row r="37" spans="7:7">
      <c r="G37" s="2"/>
    </row>
    <row r="38" spans="7:7">
      <c r="G38" s="2"/>
    </row>
    <row r="39" spans="7:7">
      <c r="G39" s="2"/>
    </row>
    <row r="40" spans="7:7">
      <c r="G40" s="2"/>
    </row>
    <row r="41" spans="7:7">
      <c r="G41" s="2"/>
    </row>
    <row r="42" spans="7:7">
      <c r="G42" s="2"/>
    </row>
    <row r="43" spans="7:7">
      <c r="G43" s="2"/>
    </row>
    <row r="44" spans="7:7">
      <c r="G44" s="2"/>
    </row>
    <row r="45" spans="7:7">
      <c r="G45" s="2"/>
    </row>
    <row r="46" spans="7:7">
      <c r="G46" s="2"/>
    </row>
    <row r="47" spans="7:7">
      <c r="G47" s="2"/>
    </row>
    <row r="48" spans="7:7">
      <c r="G48" s="2"/>
    </row>
    <row r="49" spans="7:7">
      <c r="G49" s="2"/>
    </row>
    <row r="50" spans="7:7">
      <c r="G50" s="2"/>
    </row>
    <row r="51" spans="7:7">
      <c r="G51" s="2"/>
    </row>
    <row r="52" spans="7:7">
      <c r="G52" s="2"/>
    </row>
    <row r="53" spans="7:7">
      <c r="G53" s="2"/>
    </row>
    <row r="54" spans="7:7">
      <c r="G54" s="2"/>
    </row>
    <row r="55" spans="7:7">
      <c r="G55" s="2"/>
    </row>
    <row r="56" spans="7:7">
      <c r="G56" s="2"/>
    </row>
    <row r="57" spans="7:7">
      <c r="G57" s="2"/>
    </row>
    <row r="58" spans="7:7">
      <c r="G58" s="2"/>
    </row>
    <row r="59" spans="7:7">
      <c r="G59" s="2"/>
    </row>
    <row r="60" spans="7:7">
      <c r="G60" s="2"/>
    </row>
    <row r="61" spans="7:7">
      <c r="G61" s="2"/>
    </row>
    <row r="62" spans="7:7">
      <c r="G62" s="2"/>
    </row>
    <row r="63" spans="7:7">
      <c r="G63" s="2"/>
    </row>
    <row r="64" spans="7:7">
      <c r="G64" s="2"/>
    </row>
    <row r="65" spans="7:7">
      <c r="G65" s="2"/>
    </row>
    <row r="66" spans="7:7">
      <c r="G66" s="2"/>
    </row>
    <row r="67" spans="7:7">
      <c r="G67" s="2"/>
    </row>
    <row r="68" spans="7:7">
      <c r="G68" s="2"/>
    </row>
    <row r="69" spans="7:7">
      <c r="G69" s="2"/>
    </row>
    <row r="70" spans="7:7">
      <c r="G70" s="2"/>
    </row>
    <row r="71" spans="7:7">
      <c r="G71" s="2"/>
    </row>
    <row r="72" spans="7:7">
      <c r="G72" s="2"/>
    </row>
    <row r="73" spans="7:7">
      <c r="G73" s="2"/>
    </row>
    <row r="74" spans="7:7">
      <c r="G74" s="2"/>
    </row>
    <row r="75" spans="7:7">
      <c r="G75" s="2"/>
    </row>
    <row r="76" spans="7:7">
      <c r="G76" s="2"/>
    </row>
    <row r="77" spans="7:7">
      <c r="G77" s="2"/>
    </row>
    <row r="78" spans="7:7">
      <c r="G78" s="2"/>
    </row>
    <row r="79" spans="7:7">
      <c r="G79" s="2"/>
    </row>
    <row r="80" spans="7:7">
      <c r="G80" s="2"/>
    </row>
    <row r="81" spans="7:7">
      <c r="G81" s="2"/>
    </row>
    <row r="82" spans="7:7">
      <c r="G82" s="2"/>
    </row>
    <row r="83" spans="7:7">
      <c r="G83" s="2"/>
    </row>
    <row r="84" spans="7:7">
      <c r="G84" s="2"/>
    </row>
    <row r="85" spans="7:7">
      <c r="G85" s="2"/>
    </row>
    <row r="86" spans="7:7">
      <c r="G86" s="2"/>
    </row>
    <row r="87" spans="7:7">
      <c r="G87" s="2"/>
    </row>
    <row r="88" spans="7:7">
      <c r="G88" s="2"/>
    </row>
    <row r="89" spans="7:7">
      <c r="G89" s="2"/>
    </row>
    <row r="90" spans="7:7">
      <c r="G90" s="2"/>
    </row>
    <row r="91" spans="7:7">
      <c r="G91" s="2"/>
    </row>
    <row r="92" spans="7:7">
      <c r="G92" s="2"/>
    </row>
    <row r="93" spans="7:7">
      <c r="G93" s="2"/>
    </row>
    <row r="94" spans="7:7">
      <c r="G94" s="2"/>
    </row>
    <row r="95" spans="7:7">
      <c r="G95" s="2"/>
    </row>
    <row r="96" spans="7:7">
      <c r="G96" s="2"/>
    </row>
    <row r="97" spans="7:7">
      <c r="G97" s="2"/>
    </row>
    <row r="98" spans="7:7">
      <c r="G98" s="2"/>
    </row>
    <row r="99" spans="7:7">
      <c r="G99" s="2"/>
    </row>
    <row r="100" spans="7:7">
      <c r="G100" s="2"/>
    </row>
    <row r="101" spans="7:7">
      <c r="G101" s="2"/>
    </row>
    <row r="102" spans="7:7">
      <c r="G102" s="2"/>
    </row>
    <row r="103" spans="7:7">
      <c r="G103" s="2"/>
    </row>
    <row r="104" spans="7:7">
      <c r="G104" s="2"/>
    </row>
    <row r="105" spans="7:7">
      <c r="G105" s="2"/>
    </row>
    <row r="106" spans="7:7">
      <c r="G106" s="2"/>
    </row>
    <row r="107" spans="7:7">
      <c r="G107" s="2"/>
    </row>
    <row r="108" spans="7:7">
      <c r="G108" s="2"/>
    </row>
    <row r="109" spans="7:7">
      <c r="G109" s="2"/>
    </row>
    <row r="110" spans="7:7">
      <c r="G110" s="2"/>
    </row>
    <row r="111" spans="7:7">
      <c r="G111" s="2"/>
    </row>
    <row r="112" spans="7:7">
      <c r="G112" s="2"/>
    </row>
    <row r="113" spans="7:7">
      <c r="G113" s="2"/>
    </row>
    <row r="114" spans="7:7">
      <c r="G114" s="2"/>
    </row>
    <row r="115" spans="7:7">
      <c r="G115" s="2"/>
    </row>
    <row r="116" spans="7:7">
      <c r="G116" s="2"/>
    </row>
    <row r="117" spans="7:7">
      <c r="G117" s="2"/>
    </row>
    <row r="118" spans="7:7">
      <c r="G118" s="2"/>
    </row>
    <row r="119" spans="7:7">
      <c r="G119" s="2"/>
    </row>
    <row r="120" spans="7:7">
      <c r="G120" s="2"/>
    </row>
    <row r="121" spans="7:7">
      <c r="G121" s="2"/>
    </row>
    <row r="122" spans="7:7">
      <c r="G122" s="2"/>
    </row>
    <row r="123" spans="7:7">
      <c r="G123" s="2"/>
    </row>
    <row r="124" spans="7:7">
      <c r="G124" s="2"/>
    </row>
    <row r="125" spans="7:7">
      <c r="G125" s="2"/>
    </row>
    <row r="126" spans="7:7">
      <c r="G126" s="2"/>
    </row>
    <row r="127" spans="7:7">
      <c r="G127" s="2"/>
    </row>
    <row r="128" spans="7:7">
      <c r="G128" s="2"/>
    </row>
    <row r="129" spans="7:7">
      <c r="G129" s="2"/>
    </row>
    <row r="130" spans="7:7">
      <c r="G130" s="2"/>
    </row>
    <row r="131" spans="7:7">
      <c r="G131" s="2"/>
    </row>
    <row r="132" spans="7:7">
      <c r="G132" s="2"/>
    </row>
    <row r="133" spans="7:7">
      <c r="G133" s="2"/>
    </row>
    <row r="134" spans="7:7">
      <c r="G134" s="2"/>
    </row>
    <row r="135" spans="7:7">
      <c r="G135" s="2"/>
    </row>
    <row r="136" spans="7:7">
      <c r="G136" s="2"/>
    </row>
    <row r="137" spans="7:7">
      <c r="G137" s="2"/>
    </row>
    <row r="138" spans="7:7">
      <c r="G138" s="2"/>
    </row>
    <row r="139" spans="7:7">
      <c r="G139" s="2"/>
    </row>
    <row r="140" spans="7:7">
      <c r="G140" s="2"/>
    </row>
    <row r="141" spans="7:7">
      <c r="G141" s="2"/>
    </row>
    <row r="142" spans="7:7">
      <c r="G142" s="2"/>
    </row>
    <row r="143" spans="7:7">
      <c r="G143" s="2"/>
    </row>
    <row r="144" spans="7:7">
      <c r="G144" s="2"/>
    </row>
    <row r="145" spans="7:7">
      <c r="G145" s="2"/>
    </row>
    <row r="146" spans="7:7">
      <c r="G146" s="2"/>
    </row>
    <row r="147" spans="7:7">
      <c r="G147" s="2"/>
    </row>
    <row r="148" spans="7:7">
      <c r="G148" s="2"/>
    </row>
    <row r="149" spans="7:7">
      <c r="G149" s="2"/>
    </row>
    <row r="150" spans="7:7">
      <c r="G150" s="2"/>
    </row>
    <row r="151" spans="7:7">
      <c r="G151" s="2"/>
    </row>
    <row r="152" spans="7:7">
      <c r="G152" s="2"/>
    </row>
    <row r="153" spans="7:7">
      <c r="G153" s="2"/>
    </row>
    <row r="154" spans="7:7">
      <c r="G154" s="2"/>
    </row>
    <row r="155" spans="7:7">
      <c r="G155" s="2"/>
    </row>
    <row r="156" spans="7:7">
      <c r="G156" s="2"/>
    </row>
    <row r="157" spans="7:7">
      <c r="G157" s="2"/>
    </row>
    <row r="158" spans="7:7">
      <c r="G158" s="2"/>
    </row>
    <row r="159" spans="7:7">
      <c r="G159" s="2"/>
    </row>
    <row r="160" spans="7:7">
      <c r="G160" s="2"/>
    </row>
    <row r="161" spans="7:7">
      <c r="G161" s="2"/>
    </row>
    <row r="162" spans="7:7">
      <c r="G162" s="2"/>
    </row>
    <row r="163" spans="7:7">
      <c r="G163" s="2"/>
    </row>
    <row r="164" spans="7:7">
      <c r="G164" s="2"/>
    </row>
    <row r="165" spans="7:7">
      <c r="G165" s="2"/>
    </row>
    <row r="166" spans="7:7">
      <c r="G166" s="2"/>
    </row>
    <row r="167" spans="7:7">
      <c r="G167" s="2"/>
    </row>
    <row r="168" spans="7:7">
      <c r="G168" s="2"/>
    </row>
    <row r="169" spans="7:7">
      <c r="G169" s="2"/>
    </row>
    <row r="170" spans="7:7">
      <c r="G170" s="2"/>
    </row>
    <row r="171" spans="7:7">
      <c r="G171" s="2"/>
    </row>
    <row r="172" spans="7:7">
      <c r="G172" s="2"/>
    </row>
    <row r="173" spans="7:7">
      <c r="G173" s="2"/>
    </row>
    <row r="174" spans="7:7">
      <c r="G174" s="2"/>
    </row>
    <row r="175" spans="7:7">
      <c r="G175" s="2"/>
    </row>
    <row r="176" spans="7:7">
      <c r="G176" s="2"/>
    </row>
    <row r="177" spans="7:7">
      <c r="G177" s="2"/>
    </row>
    <row r="178" spans="7:7">
      <c r="G178" s="2"/>
    </row>
    <row r="179" spans="7:7">
      <c r="G179" s="2"/>
    </row>
    <row r="180" spans="7:7">
      <c r="G180" s="2"/>
    </row>
    <row r="181" spans="7:7">
      <c r="G181" s="2"/>
    </row>
    <row r="182" spans="7:7">
      <c r="G182" s="2"/>
    </row>
    <row r="183" spans="7:7">
      <c r="G183" s="2"/>
    </row>
    <row r="184" spans="7:7">
      <c r="G184" s="2"/>
    </row>
    <row r="185" spans="7:7">
      <c r="G185" s="2"/>
    </row>
    <row r="186" spans="7:7">
      <c r="G186" s="2"/>
    </row>
    <row r="187" spans="7:7">
      <c r="G187" s="2"/>
    </row>
    <row r="188" spans="7:7">
      <c r="G188" s="2"/>
    </row>
    <row r="189" spans="7:7">
      <c r="G189" s="2"/>
    </row>
    <row r="190" spans="7:7">
      <c r="G190" s="2"/>
    </row>
    <row r="191" spans="7:7">
      <c r="G191" s="2"/>
    </row>
    <row r="192" spans="7:7">
      <c r="G192" s="2"/>
    </row>
    <row r="193" spans="7:7">
      <c r="G193" s="2"/>
    </row>
    <row r="194" spans="7:7">
      <c r="G194" s="2"/>
    </row>
    <row r="195" spans="7:7">
      <c r="G195" s="2"/>
    </row>
    <row r="196" spans="7:7">
      <c r="G196" s="2"/>
    </row>
    <row r="197" spans="7:7">
      <c r="G197" s="2"/>
    </row>
    <row r="198" spans="7:7">
      <c r="G198" s="2"/>
    </row>
    <row r="199" spans="7:7">
      <c r="G199" s="2"/>
    </row>
    <row r="200" spans="7:7">
      <c r="G200" s="2"/>
    </row>
    <row r="201" spans="7:7">
      <c r="G201" s="2"/>
    </row>
    <row r="202" spans="7:7">
      <c r="G202" s="2"/>
    </row>
    <row r="203" spans="7:7">
      <c r="G203" s="2"/>
    </row>
    <row r="204" spans="7:7">
      <c r="G204" s="2"/>
    </row>
    <row r="205" spans="7:7">
      <c r="G205" s="2"/>
    </row>
    <row r="206" spans="7:7">
      <c r="G206" s="2"/>
    </row>
    <row r="207" spans="7:7">
      <c r="G207" s="2"/>
    </row>
    <row r="208" spans="7:7">
      <c r="G208" s="2"/>
    </row>
    <row r="209" spans="7:7">
      <c r="G209" s="2"/>
    </row>
    <row r="210" spans="7:7">
      <c r="G210" s="2"/>
    </row>
    <row r="211" spans="7:7">
      <c r="G211" s="2"/>
    </row>
    <row r="212" spans="7:7">
      <c r="G212" s="2"/>
    </row>
    <row r="213" spans="7:7">
      <c r="G213" s="2"/>
    </row>
    <row r="214" spans="7:7">
      <c r="G214" s="2"/>
    </row>
    <row r="215" spans="7:7">
      <c r="G215" s="2"/>
    </row>
    <row r="216" spans="7:7">
      <c r="G216" s="2"/>
    </row>
    <row r="217" spans="7:7">
      <c r="G217" s="2"/>
    </row>
    <row r="218" spans="7:7">
      <c r="G218" s="2"/>
    </row>
    <row r="219" spans="7:7">
      <c r="G219" s="2"/>
    </row>
    <row r="220" spans="7:7">
      <c r="G220" s="2"/>
    </row>
    <row r="221" spans="7:7">
      <c r="G221" s="2"/>
    </row>
    <row r="222" spans="7:7">
      <c r="G222" s="2"/>
    </row>
    <row r="223" spans="7:7">
      <c r="G223" s="2"/>
    </row>
    <row r="224" spans="7:7">
      <c r="G224" s="2"/>
    </row>
    <row r="225" spans="7:7">
      <c r="G225" s="2"/>
    </row>
    <row r="226" spans="7:7">
      <c r="G226" s="2"/>
    </row>
    <row r="227" spans="7:7">
      <c r="G227" s="2"/>
    </row>
    <row r="228" spans="7:7">
      <c r="G228" s="2"/>
    </row>
    <row r="229" spans="7:7">
      <c r="G229" s="2"/>
    </row>
    <row r="230" spans="7:7">
      <c r="G230" s="2"/>
    </row>
    <row r="231" spans="7:7">
      <c r="G231" s="2"/>
    </row>
    <row r="232" spans="7:7">
      <c r="G232" s="2"/>
    </row>
    <row r="233" spans="7:7">
      <c r="G233" s="2"/>
    </row>
    <row r="234" spans="7:7">
      <c r="G234" s="2"/>
    </row>
    <row r="235" spans="7:7">
      <c r="G235" s="2"/>
    </row>
    <row r="236" spans="7:7">
      <c r="G236" s="2"/>
    </row>
    <row r="237" spans="7:7">
      <c r="G237" s="2"/>
    </row>
    <row r="238" spans="7:7">
      <c r="G238" s="2"/>
    </row>
    <row r="239" spans="7:7">
      <c r="G239" s="2"/>
    </row>
    <row r="240" spans="7:7">
      <c r="G240" s="2"/>
    </row>
    <row r="241" spans="7:7">
      <c r="G241" s="2"/>
    </row>
    <row r="242" spans="7:7">
      <c r="G242" s="2"/>
    </row>
    <row r="243" spans="7:7">
      <c r="G243" s="2"/>
    </row>
    <row r="244" spans="7:7">
      <c r="G244" s="2"/>
    </row>
    <row r="245" spans="7:7">
      <c r="G245" s="2"/>
    </row>
    <row r="246" spans="7:7">
      <c r="G246" s="2"/>
    </row>
    <row r="247" spans="7:7">
      <c r="G247" s="2"/>
    </row>
    <row r="248" spans="7:7">
      <c r="G248" s="2"/>
    </row>
    <row r="249" spans="7:7">
      <c r="G249" s="2"/>
    </row>
    <row r="250" spans="7:7">
      <c r="G250" s="2"/>
    </row>
    <row r="251" spans="7:7">
      <c r="G251" s="2"/>
    </row>
    <row r="252" spans="7:7">
      <c r="G252" s="2"/>
    </row>
    <row r="253" spans="7:7">
      <c r="G253" s="2"/>
    </row>
    <row r="254" spans="7:7">
      <c r="G254" s="2"/>
    </row>
    <row r="255" spans="7:7">
      <c r="G255" s="2"/>
    </row>
    <row r="256" spans="7:7">
      <c r="G256" s="2"/>
    </row>
    <row r="257" spans="7:7">
      <c r="G257" s="2"/>
    </row>
    <row r="258" spans="7:7">
      <c r="G258" s="2"/>
    </row>
    <row r="259" spans="7:7">
      <c r="G259" s="2"/>
    </row>
    <row r="260" spans="7:7">
      <c r="G260" s="2"/>
    </row>
    <row r="261" spans="7:7">
      <c r="G261" s="2"/>
    </row>
    <row r="262" spans="7:7">
      <c r="G262" s="2"/>
    </row>
    <row r="263" spans="7:7">
      <c r="G263" s="2"/>
    </row>
    <row r="264" spans="7:7">
      <c r="G264" s="2"/>
    </row>
    <row r="265" spans="7:7">
      <c r="G265" s="2"/>
    </row>
    <row r="266" spans="7:7">
      <c r="G266" s="2"/>
    </row>
    <row r="267" spans="7:7">
      <c r="G267" s="2"/>
    </row>
    <row r="268" spans="7:7">
      <c r="G268" s="2"/>
    </row>
    <row r="269" spans="7:7">
      <c r="G269" s="2"/>
    </row>
    <row r="270" spans="7:7">
      <c r="G270" s="2"/>
    </row>
    <row r="271" spans="7:7">
      <c r="G271" s="2"/>
    </row>
    <row r="272" spans="7:7">
      <c r="G272" s="2"/>
    </row>
    <row r="273" spans="7:7">
      <c r="G273" s="2"/>
    </row>
    <row r="274" spans="7:7">
      <c r="G274" s="2"/>
    </row>
    <row r="275" spans="7:7">
      <c r="G275" s="2"/>
    </row>
    <row r="276" spans="7:7">
      <c r="G276" s="2"/>
    </row>
    <row r="277" spans="7:7">
      <c r="G277" s="2"/>
    </row>
    <row r="278" spans="7:7">
      <c r="G278" s="2"/>
    </row>
    <row r="279" spans="7:7">
      <c r="G279" s="2"/>
    </row>
    <row r="280" spans="7:7">
      <c r="G280" s="2"/>
    </row>
    <row r="281" spans="7:7">
      <c r="G281" s="2"/>
    </row>
    <row r="282" spans="7:7">
      <c r="G282" s="2"/>
    </row>
    <row r="283" spans="7:7">
      <c r="G283" s="2"/>
    </row>
    <row r="284" spans="7:7">
      <c r="G284" s="2"/>
    </row>
    <row r="285" spans="7:7">
      <c r="G285" s="2"/>
    </row>
    <row r="286" spans="7:7">
      <c r="G286" s="2"/>
    </row>
    <row r="287" spans="7:7">
      <c r="G287" s="2"/>
    </row>
    <row r="288" spans="7:7">
      <c r="G288" s="2"/>
    </row>
    <row r="289" spans="7:7">
      <c r="G289" s="2"/>
    </row>
    <row r="290" spans="7:7">
      <c r="G290" s="2"/>
    </row>
    <row r="291" spans="7:7">
      <c r="G291" s="2"/>
    </row>
    <row r="292" spans="7:7">
      <c r="G292" s="2"/>
    </row>
    <row r="293" spans="7:7">
      <c r="G293" s="2"/>
    </row>
    <row r="294" spans="7:7">
      <c r="G294" s="2"/>
    </row>
    <row r="295" spans="7:7">
      <c r="G295" s="2"/>
    </row>
    <row r="296" spans="7:7">
      <c r="G296" s="2"/>
    </row>
    <row r="297" spans="7:7">
      <c r="G297" s="2"/>
    </row>
    <row r="298" spans="7:7">
      <c r="G298" s="2"/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396"/>
  <sheetViews>
    <sheetView workbookViewId="0"/>
  </sheetViews>
  <sheetFormatPr defaultRowHeight="18.75"/>
  <cols>
    <col min="2" max="2" width="18.625" customWidth="1"/>
  </cols>
  <sheetData>
    <row r="1" spans="1:2">
      <c r="A1" t="s">
        <v>7</v>
      </c>
      <c r="B1" t="s">
        <v>8</v>
      </c>
    </row>
    <row r="2" spans="1:2">
      <c r="A2" s="6">
        <v>24111151</v>
      </c>
      <c r="B2" s="1">
        <v>45604.792442129627</v>
      </c>
    </row>
    <row r="3" spans="1:2">
      <c r="A3" s="6">
        <v>24111143</v>
      </c>
      <c r="B3" s="1">
        <v>45604.792442129627</v>
      </c>
    </row>
    <row r="4" spans="1:2">
      <c r="A4" s="6">
        <v>24111141</v>
      </c>
      <c r="B4" s="1">
        <v>45604.792442129627</v>
      </c>
    </row>
    <row r="5" spans="1:2">
      <c r="A5" s="6">
        <v>24111140</v>
      </c>
      <c r="B5" s="1">
        <v>45604.792442129627</v>
      </c>
    </row>
    <row r="6" spans="1:2">
      <c r="A6" s="6">
        <v>24111135</v>
      </c>
      <c r="B6" s="1">
        <v>45604.792442129627</v>
      </c>
    </row>
    <row r="7" spans="1:2">
      <c r="A7" s="6">
        <v>24111118</v>
      </c>
      <c r="B7" s="1">
        <v>45604.792442129627</v>
      </c>
    </row>
    <row r="8" spans="1:2">
      <c r="A8" s="6">
        <v>24111115</v>
      </c>
      <c r="B8" s="1">
        <v>45604.792442129627</v>
      </c>
    </row>
    <row r="9" spans="1:2">
      <c r="A9" s="6">
        <v>24111110</v>
      </c>
      <c r="B9" s="1">
        <v>45604.792442129627</v>
      </c>
    </row>
    <row r="10" spans="1:2">
      <c r="A10" s="6">
        <v>24111108</v>
      </c>
      <c r="B10" s="1">
        <v>45604.792442129627</v>
      </c>
    </row>
    <row r="11" spans="1:2">
      <c r="A11" s="6">
        <v>24111099</v>
      </c>
      <c r="B11" s="1">
        <v>45604.792442129627</v>
      </c>
    </row>
    <row r="12" spans="1:2">
      <c r="A12" s="6">
        <v>24111097</v>
      </c>
      <c r="B12" s="1">
        <v>45604.792442129627</v>
      </c>
    </row>
    <row r="13" spans="1:2">
      <c r="A13" s="6">
        <v>24111096</v>
      </c>
      <c r="B13" s="1">
        <v>45604.792442129627</v>
      </c>
    </row>
    <row r="14" spans="1:2">
      <c r="A14" s="6">
        <v>24111092</v>
      </c>
      <c r="B14" s="1">
        <v>45604.792442129627</v>
      </c>
    </row>
    <row r="15" spans="1:2">
      <c r="A15" s="6">
        <v>24111087</v>
      </c>
      <c r="B15" s="1">
        <v>45604.792442129627</v>
      </c>
    </row>
    <row r="16" spans="1:2">
      <c r="A16" s="6">
        <v>24111086</v>
      </c>
      <c r="B16" s="1">
        <v>45604.792442129627</v>
      </c>
    </row>
    <row r="17" spans="1:2">
      <c r="A17" s="6">
        <v>24111085</v>
      </c>
      <c r="B17" s="1">
        <v>45604.792442129627</v>
      </c>
    </row>
    <row r="18" spans="1:2">
      <c r="A18" s="6">
        <v>24111080</v>
      </c>
      <c r="B18" s="1">
        <v>45604.792442129627</v>
      </c>
    </row>
    <row r="19" spans="1:2">
      <c r="A19" s="6">
        <v>24111078</v>
      </c>
      <c r="B19" s="1">
        <v>45604.792442129627</v>
      </c>
    </row>
    <row r="20" spans="1:2">
      <c r="A20" s="6">
        <v>24111076</v>
      </c>
      <c r="B20" s="1">
        <v>45604.792442129627</v>
      </c>
    </row>
    <row r="21" spans="1:2">
      <c r="A21" s="6">
        <v>24111068</v>
      </c>
      <c r="B21" s="1">
        <v>45604.792442129627</v>
      </c>
    </row>
    <row r="22" spans="1:2">
      <c r="A22" s="6">
        <v>24111066</v>
      </c>
      <c r="B22" s="1">
        <v>45604.792442129627</v>
      </c>
    </row>
    <row r="23" spans="1:2">
      <c r="A23" s="6">
        <v>24111058</v>
      </c>
      <c r="B23" s="1">
        <v>45604.792442129627</v>
      </c>
    </row>
    <row r="24" spans="1:2">
      <c r="A24" s="6">
        <v>24111050</v>
      </c>
      <c r="B24" s="1">
        <v>45604.792442129627</v>
      </c>
    </row>
    <row r="25" spans="1:2">
      <c r="A25" s="6">
        <v>24111046</v>
      </c>
      <c r="B25" s="1">
        <v>45604.792442129627</v>
      </c>
    </row>
    <row r="26" spans="1:2">
      <c r="A26" s="6">
        <v>24111039</v>
      </c>
      <c r="B26" s="1">
        <v>45604.792442129627</v>
      </c>
    </row>
    <row r="27" spans="1:2">
      <c r="A27" s="6">
        <v>24111034</v>
      </c>
      <c r="B27" s="1">
        <v>45604.792442129627</v>
      </c>
    </row>
    <row r="28" spans="1:2">
      <c r="A28" s="6">
        <v>24111032</v>
      </c>
      <c r="B28" s="1">
        <v>45604.792442129627</v>
      </c>
    </row>
    <row r="29" spans="1:2">
      <c r="A29" s="6">
        <v>24111023</v>
      </c>
      <c r="B29" s="1">
        <v>45604.792442129627</v>
      </c>
    </row>
    <row r="30" spans="1:2">
      <c r="A30" s="6">
        <v>24111006</v>
      </c>
      <c r="B30" s="1">
        <v>45604.792442129627</v>
      </c>
    </row>
    <row r="31" spans="1:2">
      <c r="A31" s="6">
        <v>24111002</v>
      </c>
      <c r="B31" s="1">
        <v>45604.792442129627</v>
      </c>
    </row>
    <row r="32" spans="1:2">
      <c r="A32" s="6">
        <v>24111001</v>
      </c>
      <c r="B32" s="1">
        <v>45604.792442129627</v>
      </c>
    </row>
    <row r="33" spans="1:2">
      <c r="A33" s="6">
        <v>24111000</v>
      </c>
      <c r="B33" s="1">
        <v>45604.792442129627</v>
      </c>
    </row>
    <row r="34" spans="1:2">
      <c r="A34" s="6">
        <v>24110997</v>
      </c>
      <c r="B34" s="1">
        <v>45604.792442129627</v>
      </c>
    </row>
    <row r="35" spans="1:2">
      <c r="A35" s="6">
        <v>24110995</v>
      </c>
      <c r="B35" s="1">
        <v>45604.792442129627</v>
      </c>
    </row>
    <row r="36" spans="1:2">
      <c r="A36" s="6">
        <v>24110994</v>
      </c>
      <c r="B36" s="1">
        <v>45604.792442129627</v>
      </c>
    </row>
    <row r="37" spans="1:2">
      <c r="A37" s="6">
        <v>24110990</v>
      </c>
      <c r="B37" s="1">
        <v>45604.792442129627</v>
      </c>
    </row>
    <row r="38" spans="1:2">
      <c r="A38" s="6">
        <v>24110984</v>
      </c>
      <c r="B38" s="1">
        <v>45604.792442129627</v>
      </c>
    </row>
    <row r="39" spans="1:2">
      <c r="A39" s="6">
        <v>24110976</v>
      </c>
      <c r="B39" s="1">
        <v>45604.792442129627</v>
      </c>
    </row>
    <row r="40" spans="1:2">
      <c r="A40" s="6">
        <v>24110963</v>
      </c>
      <c r="B40" s="1">
        <v>45604.792442129627</v>
      </c>
    </row>
    <row r="41" spans="1:2">
      <c r="A41" s="6">
        <v>24110958</v>
      </c>
      <c r="B41" s="1">
        <v>45604.792442129627</v>
      </c>
    </row>
    <row r="42" spans="1:2">
      <c r="A42" s="6">
        <v>24110954</v>
      </c>
      <c r="B42" s="1">
        <v>45604.792442129627</v>
      </c>
    </row>
    <row r="43" spans="1:2">
      <c r="A43" s="6">
        <v>24110948</v>
      </c>
      <c r="B43" s="1">
        <v>45604.792442129627</v>
      </c>
    </row>
    <row r="44" spans="1:2">
      <c r="A44" s="6">
        <v>24110933</v>
      </c>
      <c r="B44" s="1">
        <v>45604.792442129627</v>
      </c>
    </row>
    <row r="45" spans="1:2">
      <c r="A45" s="6">
        <v>24110932</v>
      </c>
      <c r="B45" s="1">
        <v>45604.792442129627</v>
      </c>
    </row>
    <row r="46" spans="1:2">
      <c r="A46" s="6">
        <v>24110928</v>
      </c>
      <c r="B46" s="1">
        <v>45604.792442129627</v>
      </c>
    </row>
    <row r="47" spans="1:2">
      <c r="A47" s="6">
        <v>24110925</v>
      </c>
      <c r="B47" s="1">
        <v>45604.792442129627</v>
      </c>
    </row>
    <row r="48" spans="1:2">
      <c r="A48" s="6">
        <v>24110913</v>
      </c>
      <c r="B48" s="1">
        <v>45604.792442129627</v>
      </c>
    </row>
    <row r="49" spans="1:2">
      <c r="A49" s="6">
        <v>24110907</v>
      </c>
      <c r="B49" s="1">
        <v>45604.792442129627</v>
      </c>
    </row>
    <row r="50" spans="1:2">
      <c r="A50" s="6">
        <v>24110900</v>
      </c>
      <c r="B50" s="1">
        <v>45604.792442129627</v>
      </c>
    </row>
    <row r="51" spans="1:2">
      <c r="A51" s="6">
        <v>24110894</v>
      </c>
      <c r="B51" s="1">
        <v>45604.792442129627</v>
      </c>
    </row>
    <row r="52" spans="1:2">
      <c r="A52" s="6">
        <v>24110885</v>
      </c>
      <c r="B52" s="1">
        <v>45604.792442129627</v>
      </c>
    </row>
    <row r="53" spans="1:2">
      <c r="A53" s="6">
        <v>24110877</v>
      </c>
      <c r="B53" s="1">
        <v>45604.792442129627</v>
      </c>
    </row>
    <row r="54" spans="1:2">
      <c r="A54" s="6">
        <v>24110873</v>
      </c>
      <c r="B54" s="1">
        <v>45604.792442129627</v>
      </c>
    </row>
    <row r="55" spans="1:2">
      <c r="A55" s="6">
        <v>24110868</v>
      </c>
      <c r="B55" s="1">
        <v>45604.792442129627</v>
      </c>
    </row>
    <row r="56" spans="1:2">
      <c r="A56" s="6">
        <v>24110863</v>
      </c>
      <c r="B56" s="1">
        <v>45604.792442129627</v>
      </c>
    </row>
    <row r="57" spans="1:2">
      <c r="A57" s="6">
        <v>24110860</v>
      </c>
      <c r="B57" s="1">
        <v>45604.792442129627</v>
      </c>
    </row>
    <row r="58" spans="1:2">
      <c r="A58" s="6">
        <v>24110859</v>
      </c>
      <c r="B58" s="1">
        <v>45604.792442129627</v>
      </c>
    </row>
    <row r="59" spans="1:2">
      <c r="A59" s="6">
        <v>24110858</v>
      </c>
      <c r="B59" s="1">
        <v>45604.792442129627</v>
      </c>
    </row>
    <row r="60" spans="1:2">
      <c r="A60" s="6">
        <v>24110850</v>
      </c>
      <c r="B60" s="1">
        <v>45604.792442129627</v>
      </c>
    </row>
    <row r="61" spans="1:2">
      <c r="A61" s="6">
        <v>24110849</v>
      </c>
      <c r="B61" s="1">
        <v>45604.792442129627</v>
      </c>
    </row>
    <row r="62" spans="1:2">
      <c r="A62" s="6">
        <v>24110848</v>
      </c>
      <c r="B62" s="1">
        <v>45604.792442129627</v>
      </c>
    </row>
    <row r="63" spans="1:2">
      <c r="A63" s="6">
        <v>24110846</v>
      </c>
      <c r="B63" s="1">
        <v>45604.792442129627</v>
      </c>
    </row>
    <row r="64" spans="1:2">
      <c r="A64" s="6">
        <v>24110844</v>
      </c>
      <c r="B64" s="1">
        <v>45604.792442129627</v>
      </c>
    </row>
    <row r="65" spans="1:2">
      <c r="A65" s="6">
        <v>24110837</v>
      </c>
      <c r="B65" s="1">
        <v>45604.792442129627</v>
      </c>
    </row>
    <row r="66" spans="1:2">
      <c r="A66" s="6">
        <v>24110836</v>
      </c>
      <c r="B66" s="1">
        <v>45604.792442129627</v>
      </c>
    </row>
    <row r="67" spans="1:2">
      <c r="A67" s="6">
        <v>24110834</v>
      </c>
      <c r="B67" s="1">
        <v>45604.792442129627</v>
      </c>
    </row>
    <row r="68" spans="1:2">
      <c r="A68" s="6">
        <v>24110833</v>
      </c>
      <c r="B68" s="1">
        <v>45604.792442129627</v>
      </c>
    </row>
    <row r="69" spans="1:2">
      <c r="A69" s="6">
        <v>24110830</v>
      </c>
      <c r="B69" s="1">
        <v>45604.792442129627</v>
      </c>
    </row>
    <row r="70" spans="1:2">
      <c r="A70" s="6">
        <v>24110827</v>
      </c>
      <c r="B70" s="1">
        <v>45604.792442129627</v>
      </c>
    </row>
    <row r="71" spans="1:2">
      <c r="A71" s="6">
        <v>24110820</v>
      </c>
      <c r="B71" s="1">
        <v>45604.792442129627</v>
      </c>
    </row>
    <row r="72" spans="1:2">
      <c r="A72" s="6">
        <v>24110819</v>
      </c>
      <c r="B72" s="1">
        <v>45604.792442129627</v>
      </c>
    </row>
    <row r="73" spans="1:2">
      <c r="A73" s="6">
        <v>24110818</v>
      </c>
      <c r="B73" s="1">
        <v>45604.792442129627</v>
      </c>
    </row>
    <row r="74" spans="1:2">
      <c r="A74" s="6">
        <v>24110816</v>
      </c>
      <c r="B74" s="1">
        <v>45604.792442129627</v>
      </c>
    </row>
    <row r="75" spans="1:2">
      <c r="A75" s="6">
        <v>24110813</v>
      </c>
      <c r="B75" s="1">
        <v>45604.792442129627</v>
      </c>
    </row>
    <row r="76" spans="1:2">
      <c r="A76" s="6">
        <v>24110811</v>
      </c>
      <c r="B76" s="1">
        <v>45604.792442129627</v>
      </c>
    </row>
    <row r="77" spans="1:2">
      <c r="A77" s="6">
        <v>24110809</v>
      </c>
      <c r="B77" s="1">
        <v>45604.792442129627</v>
      </c>
    </row>
    <row r="78" spans="1:2">
      <c r="A78" s="6">
        <v>24110803</v>
      </c>
      <c r="B78" s="1">
        <v>45604.792442129627</v>
      </c>
    </row>
    <row r="79" spans="1:2">
      <c r="A79" s="6">
        <v>24110794</v>
      </c>
      <c r="B79" s="1">
        <v>45604.792442129627</v>
      </c>
    </row>
    <row r="80" spans="1:2">
      <c r="A80" s="6">
        <v>24110792</v>
      </c>
      <c r="B80" s="1">
        <v>45604.792442129627</v>
      </c>
    </row>
    <row r="81" spans="1:2">
      <c r="A81" s="6">
        <v>24110780</v>
      </c>
      <c r="B81" s="1">
        <v>45604.792442129627</v>
      </c>
    </row>
    <row r="82" spans="1:2">
      <c r="A82" s="6">
        <v>24110779</v>
      </c>
      <c r="B82" s="1">
        <v>45604.792442129627</v>
      </c>
    </row>
    <row r="83" spans="1:2">
      <c r="A83" s="6">
        <v>24110776</v>
      </c>
      <c r="B83" s="1">
        <v>45604.792442129627</v>
      </c>
    </row>
    <row r="84" spans="1:2">
      <c r="A84" s="6">
        <v>24110773</v>
      </c>
      <c r="B84" s="1">
        <v>45604.792442129627</v>
      </c>
    </row>
    <row r="85" spans="1:2">
      <c r="A85" s="6">
        <v>24110769</v>
      </c>
      <c r="B85" s="1">
        <v>45604.792442129627</v>
      </c>
    </row>
    <row r="86" spans="1:2">
      <c r="A86" s="6">
        <v>24110761</v>
      </c>
      <c r="B86" s="1">
        <v>45604.792442129627</v>
      </c>
    </row>
    <row r="87" spans="1:2">
      <c r="A87" s="6">
        <v>24110742</v>
      </c>
      <c r="B87" s="1">
        <v>45604.792442129627</v>
      </c>
    </row>
    <row r="88" spans="1:2">
      <c r="A88" s="6">
        <v>24110740</v>
      </c>
      <c r="B88" s="1">
        <v>45604.792442129627</v>
      </c>
    </row>
    <row r="89" spans="1:2">
      <c r="A89">
        <v>24110739</v>
      </c>
      <c r="B89" s="1">
        <v>45604.792442129627</v>
      </c>
    </row>
    <row r="90" spans="1:2">
      <c r="A90">
        <v>24110737</v>
      </c>
      <c r="B90" s="1">
        <v>45604.792442129627</v>
      </c>
    </row>
    <row r="91" spans="1:2">
      <c r="A91">
        <v>24110723</v>
      </c>
      <c r="B91" s="1">
        <v>45604.792442129627</v>
      </c>
    </row>
    <row r="92" spans="1:2">
      <c r="A92">
        <v>24110713</v>
      </c>
      <c r="B92" s="1">
        <v>45604.792442129627</v>
      </c>
    </row>
    <row r="93" spans="1:2">
      <c r="A93">
        <v>24110710</v>
      </c>
      <c r="B93" s="1">
        <v>45604.792442129627</v>
      </c>
    </row>
    <row r="94" spans="1:2">
      <c r="A94">
        <v>24110701</v>
      </c>
      <c r="B94" s="1">
        <v>45604.792442129627</v>
      </c>
    </row>
    <row r="95" spans="1:2">
      <c r="A95">
        <v>24110693</v>
      </c>
      <c r="B95" s="1">
        <v>45604.792442129627</v>
      </c>
    </row>
    <row r="96" spans="1:2">
      <c r="A96">
        <v>24110692</v>
      </c>
      <c r="B96" s="1">
        <v>45604.792442129627</v>
      </c>
    </row>
    <row r="97" spans="1:2">
      <c r="A97">
        <v>24110687</v>
      </c>
      <c r="B97" s="1">
        <v>45604.792442129627</v>
      </c>
    </row>
    <row r="98" spans="1:2">
      <c r="A98">
        <v>24110673</v>
      </c>
      <c r="B98" s="1">
        <v>45604.792442129627</v>
      </c>
    </row>
    <row r="99" spans="1:2">
      <c r="A99">
        <v>24110670</v>
      </c>
      <c r="B99" s="1">
        <v>45604.792442129627</v>
      </c>
    </row>
    <row r="100" spans="1:2">
      <c r="A100">
        <v>24110668</v>
      </c>
      <c r="B100" s="1">
        <v>45604.792442129627</v>
      </c>
    </row>
    <row r="101" spans="1:2">
      <c r="A101">
        <v>24110666</v>
      </c>
      <c r="B101" s="1">
        <v>45604.792442129627</v>
      </c>
    </row>
    <row r="102" spans="1:2">
      <c r="A102">
        <v>24110663</v>
      </c>
      <c r="B102" s="1">
        <v>45604.792442129627</v>
      </c>
    </row>
    <row r="103" spans="1:2">
      <c r="A103">
        <v>24110653</v>
      </c>
      <c r="B103" s="1">
        <v>45604.792442129627</v>
      </c>
    </row>
    <row r="104" spans="1:2">
      <c r="A104">
        <v>24110651</v>
      </c>
      <c r="B104" s="1">
        <v>45604.792442129627</v>
      </c>
    </row>
    <row r="105" spans="1:2">
      <c r="A105">
        <v>24110649</v>
      </c>
      <c r="B105" s="1">
        <v>45604.792442129627</v>
      </c>
    </row>
    <row r="106" spans="1:2">
      <c r="A106">
        <v>24110646</v>
      </c>
      <c r="B106" s="1">
        <v>45604.792442129627</v>
      </c>
    </row>
    <row r="107" spans="1:2">
      <c r="A107">
        <v>24110642</v>
      </c>
      <c r="B107" s="1">
        <v>45604.792442129627</v>
      </c>
    </row>
    <row r="108" spans="1:2">
      <c r="A108">
        <v>24110624</v>
      </c>
      <c r="B108" s="1">
        <v>45604.792442129627</v>
      </c>
    </row>
    <row r="109" spans="1:2">
      <c r="A109">
        <v>24110623</v>
      </c>
      <c r="B109" s="1">
        <v>45604.792442129627</v>
      </c>
    </row>
    <row r="110" spans="1:2">
      <c r="A110">
        <v>24110621</v>
      </c>
      <c r="B110" s="1">
        <v>45604.792442129627</v>
      </c>
    </row>
    <row r="111" spans="1:2">
      <c r="A111">
        <v>24110609</v>
      </c>
      <c r="B111" s="1">
        <v>45604.792442129627</v>
      </c>
    </row>
    <row r="112" spans="1:2">
      <c r="A112">
        <v>24110592</v>
      </c>
      <c r="B112" s="1">
        <v>45604.792442129627</v>
      </c>
    </row>
    <row r="113" spans="1:2">
      <c r="A113">
        <v>24110588</v>
      </c>
      <c r="B113" s="1">
        <v>45604.792442129627</v>
      </c>
    </row>
    <row r="114" spans="1:2">
      <c r="A114">
        <v>24110587</v>
      </c>
      <c r="B114" s="1">
        <v>45604.792442129627</v>
      </c>
    </row>
    <row r="115" spans="1:2">
      <c r="A115">
        <v>24110586</v>
      </c>
      <c r="B115" s="1">
        <v>45604.792442129627</v>
      </c>
    </row>
    <row r="116" spans="1:2">
      <c r="A116">
        <v>24110540</v>
      </c>
      <c r="B116" s="1">
        <v>45604.792442129627</v>
      </c>
    </row>
    <row r="117" spans="1:2">
      <c r="A117">
        <v>24110511</v>
      </c>
      <c r="B117" s="1">
        <v>45604.792442129627</v>
      </c>
    </row>
    <row r="118" spans="1:2">
      <c r="A118">
        <v>24110510</v>
      </c>
      <c r="B118" s="1">
        <v>45604.792442129627</v>
      </c>
    </row>
    <row r="119" spans="1:2">
      <c r="A119">
        <v>24110507</v>
      </c>
      <c r="B119" s="1">
        <v>45604.792442129627</v>
      </c>
    </row>
    <row r="120" spans="1:2">
      <c r="A120">
        <v>24110506</v>
      </c>
      <c r="B120" s="1">
        <v>45604.792442129627</v>
      </c>
    </row>
    <row r="121" spans="1:2">
      <c r="A121">
        <v>24110499</v>
      </c>
      <c r="B121" s="1">
        <v>45604.792442129627</v>
      </c>
    </row>
    <row r="122" spans="1:2">
      <c r="A122">
        <v>24110493</v>
      </c>
      <c r="B122" s="1">
        <v>45604.792442129627</v>
      </c>
    </row>
    <row r="123" spans="1:2">
      <c r="A123">
        <v>24110471</v>
      </c>
      <c r="B123" s="1">
        <v>45604.792442129627</v>
      </c>
    </row>
    <row r="124" spans="1:2">
      <c r="A124">
        <v>24110427</v>
      </c>
      <c r="B124" s="1">
        <v>45604.792442129627</v>
      </c>
    </row>
    <row r="125" spans="1:2">
      <c r="A125">
        <v>24110423</v>
      </c>
      <c r="B125" s="1">
        <v>45604.792442129627</v>
      </c>
    </row>
    <row r="126" spans="1:2">
      <c r="A126">
        <v>24110421</v>
      </c>
      <c r="B126" s="1">
        <v>45604.792442129627</v>
      </c>
    </row>
    <row r="127" spans="1:2">
      <c r="A127">
        <v>24110342</v>
      </c>
      <c r="B127" s="1">
        <v>45604.792442129627</v>
      </c>
    </row>
    <row r="128" spans="1:2">
      <c r="A128">
        <v>24110340</v>
      </c>
      <c r="B128" s="1">
        <v>45604.792442129627</v>
      </c>
    </row>
    <row r="129" spans="1:2">
      <c r="A129">
        <v>24110322</v>
      </c>
      <c r="B129" s="1">
        <v>45604.792442129627</v>
      </c>
    </row>
    <row r="130" spans="1:2">
      <c r="A130">
        <v>24110249</v>
      </c>
      <c r="B130" s="1">
        <v>45604.792442129627</v>
      </c>
    </row>
    <row r="131" spans="1:2">
      <c r="A131">
        <v>24110209</v>
      </c>
      <c r="B131" s="1">
        <v>45604.792442129627</v>
      </c>
    </row>
    <row r="132" spans="1:2">
      <c r="A132">
        <v>24110206</v>
      </c>
      <c r="B132" s="1">
        <v>45604.792442129627</v>
      </c>
    </row>
    <row r="133" spans="1:2">
      <c r="A133">
        <v>24110205</v>
      </c>
      <c r="B133" s="1">
        <v>45604.792442129627</v>
      </c>
    </row>
    <row r="134" spans="1:2">
      <c r="A134">
        <v>24110164</v>
      </c>
      <c r="B134" s="1">
        <v>45604.792442129627</v>
      </c>
    </row>
    <row r="135" spans="1:2">
      <c r="A135">
        <v>24110109</v>
      </c>
      <c r="B135" s="1">
        <v>45604.792442129627</v>
      </c>
    </row>
    <row r="136" spans="1:2">
      <c r="A136">
        <v>24110066</v>
      </c>
      <c r="B136" s="1">
        <v>45604.792442129627</v>
      </c>
    </row>
    <row r="137" spans="1:2">
      <c r="A137">
        <v>24110058</v>
      </c>
      <c r="B137" s="1">
        <v>45604.792442129627</v>
      </c>
    </row>
    <row r="138" spans="1:2">
      <c r="A138">
        <v>24110046</v>
      </c>
      <c r="B138" s="1">
        <v>45604.792442129627</v>
      </c>
    </row>
    <row r="139" spans="1:2">
      <c r="A139">
        <v>24110031</v>
      </c>
      <c r="B139" s="1">
        <v>45604.792442129627</v>
      </c>
    </row>
    <row r="140" spans="1:2">
      <c r="A140">
        <v>24110021</v>
      </c>
      <c r="B140" s="1">
        <v>45604.792442129627</v>
      </c>
    </row>
    <row r="141" spans="1:2">
      <c r="A141">
        <v>24109902</v>
      </c>
      <c r="B141" s="1">
        <v>45604.792442129627</v>
      </c>
    </row>
    <row r="142" spans="1:2">
      <c r="A142">
        <v>24109876</v>
      </c>
      <c r="B142" s="1">
        <v>45604.792442129627</v>
      </c>
    </row>
    <row r="143" spans="1:2">
      <c r="A143">
        <v>24109818</v>
      </c>
      <c r="B143" s="1">
        <v>45604.792442129627</v>
      </c>
    </row>
    <row r="144" spans="1:2">
      <c r="A144">
        <v>24109810</v>
      </c>
      <c r="B144" s="1">
        <v>45604.792442129627</v>
      </c>
    </row>
    <row r="145" spans="1:2">
      <c r="A145">
        <v>24109727</v>
      </c>
      <c r="B145" s="1">
        <v>45604.792442129627</v>
      </c>
    </row>
    <row r="146" spans="1:2">
      <c r="A146">
        <v>24109720</v>
      </c>
      <c r="B146" s="1">
        <v>45604.792442129627</v>
      </c>
    </row>
    <row r="147" spans="1:2">
      <c r="A147">
        <v>24109644</v>
      </c>
      <c r="B147" s="1">
        <v>45604.792442129627</v>
      </c>
    </row>
    <row r="148" spans="1:2">
      <c r="A148">
        <v>24109493</v>
      </c>
      <c r="B148" s="1">
        <v>45604.792442129627</v>
      </c>
    </row>
    <row r="149" spans="1:2">
      <c r="A149">
        <v>24109492</v>
      </c>
      <c r="B149" s="1">
        <v>45604.792442129627</v>
      </c>
    </row>
    <row r="150" spans="1:2">
      <c r="A150">
        <v>24109336</v>
      </c>
      <c r="B150" s="1">
        <v>45604.792442129627</v>
      </c>
    </row>
    <row r="151" spans="1:2">
      <c r="A151">
        <v>24109316</v>
      </c>
      <c r="B151" s="1">
        <v>45604.792442129627</v>
      </c>
    </row>
    <row r="152" spans="1:2">
      <c r="A152">
        <v>24109314</v>
      </c>
      <c r="B152" s="1">
        <v>45604.792442129627</v>
      </c>
    </row>
    <row r="153" spans="1:2">
      <c r="A153">
        <v>24109281</v>
      </c>
      <c r="B153" s="1">
        <v>45604.792442129627</v>
      </c>
    </row>
    <row r="154" spans="1:2">
      <c r="A154">
        <v>24109246</v>
      </c>
      <c r="B154" s="1">
        <v>45604.792442129627</v>
      </c>
    </row>
    <row r="155" spans="1:2">
      <c r="A155">
        <v>24109237</v>
      </c>
      <c r="B155" s="1">
        <v>45604.792442129627</v>
      </c>
    </row>
    <row r="156" spans="1:2">
      <c r="A156">
        <v>24109178</v>
      </c>
      <c r="B156" s="1">
        <v>45604.792442129627</v>
      </c>
    </row>
    <row r="157" spans="1:2">
      <c r="A157">
        <v>24109167</v>
      </c>
      <c r="B157" s="1">
        <v>45604.792442129627</v>
      </c>
    </row>
    <row r="158" spans="1:2">
      <c r="A158">
        <v>24109164</v>
      </c>
      <c r="B158" s="1">
        <v>45604.792442129627</v>
      </c>
    </row>
    <row r="159" spans="1:2">
      <c r="A159">
        <v>24108878</v>
      </c>
      <c r="B159" s="1">
        <v>45604.792442129627</v>
      </c>
    </row>
    <row r="160" spans="1:2">
      <c r="A160">
        <v>24108845</v>
      </c>
      <c r="B160" s="1">
        <v>45604.792442129627</v>
      </c>
    </row>
    <row r="161" spans="1:2">
      <c r="A161">
        <v>24108769</v>
      </c>
      <c r="B161" s="1">
        <v>45604.792442129627</v>
      </c>
    </row>
    <row r="162" spans="1:2">
      <c r="A162">
        <v>24108726</v>
      </c>
      <c r="B162" s="1">
        <v>45604.792442129627</v>
      </c>
    </row>
    <row r="163" spans="1:2">
      <c r="A163">
        <v>24108719</v>
      </c>
      <c r="B163" s="1">
        <v>45604.792442129627</v>
      </c>
    </row>
    <row r="164" spans="1:2">
      <c r="A164">
        <v>24108453</v>
      </c>
      <c r="B164" s="1">
        <v>45604.792442129627</v>
      </c>
    </row>
    <row r="165" spans="1:2">
      <c r="A165">
        <v>24107948</v>
      </c>
      <c r="B165" s="1">
        <v>45604.792442129627</v>
      </c>
    </row>
    <row r="166" spans="1:2">
      <c r="A166">
        <v>24107769</v>
      </c>
      <c r="B166" s="1">
        <v>45604.792442129627</v>
      </c>
    </row>
    <row r="167" spans="1:2">
      <c r="A167">
        <v>24107011</v>
      </c>
      <c r="B167" s="1">
        <v>45604.792442129627</v>
      </c>
    </row>
    <row r="168" spans="1:2">
      <c r="A168">
        <v>24106225</v>
      </c>
      <c r="B168" s="1">
        <v>45604.792442129627</v>
      </c>
    </row>
    <row r="169" spans="1:2">
      <c r="A169">
        <v>24106224</v>
      </c>
      <c r="B169" s="1">
        <v>45604.792442129627</v>
      </c>
    </row>
    <row r="170" spans="1:2">
      <c r="A170">
        <v>24106223</v>
      </c>
      <c r="B170" s="1">
        <v>45604.792442129627</v>
      </c>
    </row>
    <row r="171" spans="1:2">
      <c r="A171">
        <v>24106222</v>
      </c>
      <c r="B171" s="1">
        <v>45604.792442129627</v>
      </c>
    </row>
    <row r="172" spans="1:2">
      <c r="A172">
        <v>24106221</v>
      </c>
      <c r="B172" s="1">
        <v>45604.792442129627</v>
      </c>
    </row>
    <row r="173" spans="1:2">
      <c r="A173">
        <v>24106220</v>
      </c>
      <c r="B173" s="1">
        <v>45604.792442129627</v>
      </c>
    </row>
    <row r="174" spans="1:2">
      <c r="A174">
        <v>24106164</v>
      </c>
      <c r="B174" s="1">
        <v>45604.792442129627</v>
      </c>
    </row>
    <row r="175" spans="1:2">
      <c r="A175">
        <v>24105860</v>
      </c>
      <c r="B175" s="1">
        <v>45604.792442129627</v>
      </c>
    </row>
    <row r="176" spans="1:2">
      <c r="A176">
        <v>24105664</v>
      </c>
      <c r="B176" s="1">
        <v>45604.792442129627</v>
      </c>
    </row>
    <row r="177" spans="1:2">
      <c r="A177">
        <v>24105364</v>
      </c>
      <c r="B177" s="1">
        <v>45604.792442129627</v>
      </c>
    </row>
    <row r="178" spans="1:2">
      <c r="A178">
        <v>24104551</v>
      </c>
      <c r="B178" s="1">
        <v>45604.792442129627</v>
      </c>
    </row>
    <row r="179" spans="1:2">
      <c r="A179">
        <v>24104244</v>
      </c>
      <c r="B179" s="1">
        <v>45604.792442129627</v>
      </c>
    </row>
    <row r="180" spans="1:2">
      <c r="A180">
        <v>24103393</v>
      </c>
      <c r="B180" s="1">
        <v>45604.792442129627</v>
      </c>
    </row>
    <row r="181" spans="1:2">
      <c r="A181">
        <v>24102626</v>
      </c>
      <c r="B181" s="1">
        <v>45604.792442129627</v>
      </c>
    </row>
    <row r="182" spans="1:2">
      <c r="A182">
        <v>24102356</v>
      </c>
      <c r="B182" s="1">
        <v>45604.792442129627</v>
      </c>
    </row>
    <row r="183" spans="1:2">
      <c r="A183">
        <v>24102037</v>
      </c>
      <c r="B183" s="1">
        <v>45604.792442129627</v>
      </c>
    </row>
    <row r="184" spans="1:2">
      <c r="A184">
        <v>24101729</v>
      </c>
      <c r="B184" s="1">
        <v>45604.792442129627</v>
      </c>
    </row>
    <row r="185" spans="1:2">
      <c r="A185">
        <v>24100427</v>
      </c>
      <c r="B185" s="1">
        <v>45604.792442129627</v>
      </c>
    </row>
    <row r="186" spans="1:2">
      <c r="A186">
        <v>24100405</v>
      </c>
      <c r="B186" s="1">
        <v>45604.792442129627</v>
      </c>
    </row>
    <row r="187" spans="1:2">
      <c r="A187">
        <v>24099027</v>
      </c>
      <c r="B187" s="1">
        <v>45604.792442129627</v>
      </c>
    </row>
    <row r="188" spans="1:2">
      <c r="A188">
        <v>24098610</v>
      </c>
      <c r="B188" s="1">
        <v>45604.792442129627</v>
      </c>
    </row>
    <row r="189" spans="1:2">
      <c r="A189">
        <v>24098581</v>
      </c>
      <c r="B189" s="1">
        <v>45604.792442129627</v>
      </c>
    </row>
    <row r="190" spans="1:2">
      <c r="A190">
        <v>24097009</v>
      </c>
      <c r="B190" s="1">
        <v>45604.792442129627</v>
      </c>
    </row>
    <row r="191" spans="1:2">
      <c r="A191">
        <v>24095261</v>
      </c>
      <c r="B191" s="1">
        <v>45604.792442129627</v>
      </c>
    </row>
    <row r="192" spans="1:2">
      <c r="A192">
        <v>24094782</v>
      </c>
      <c r="B192" s="1">
        <v>45604.792442129627</v>
      </c>
    </row>
    <row r="193" spans="1:2">
      <c r="A193">
        <v>24093263</v>
      </c>
      <c r="B193" s="1">
        <v>45604.792442129627</v>
      </c>
    </row>
    <row r="194" spans="1:2">
      <c r="A194">
        <v>24093261</v>
      </c>
      <c r="B194" s="1">
        <v>45604.792442129627</v>
      </c>
    </row>
    <row r="195" spans="1:2">
      <c r="A195">
        <v>24089739</v>
      </c>
      <c r="B195" s="1">
        <v>45604.792442129627</v>
      </c>
    </row>
    <row r="196" spans="1:2">
      <c r="A196">
        <v>24077435</v>
      </c>
      <c r="B196" s="1">
        <v>45604.792442129627</v>
      </c>
    </row>
    <row r="197" spans="1:2">
      <c r="A197">
        <v>24062744</v>
      </c>
      <c r="B197" s="1">
        <v>45604.792442129627</v>
      </c>
    </row>
    <row r="198" spans="1:2">
      <c r="A198">
        <v>24055831</v>
      </c>
      <c r="B198" s="1">
        <v>45604.792442129627</v>
      </c>
    </row>
    <row r="199" spans="1:2">
      <c r="A199">
        <v>24037244</v>
      </c>
      <c r="B199" s="1">
        <v>45604.792442129627</v>
      </c>
    </row>
    <row r="200" spans="1:2">
      <c r="A200">
        <v>24037240</v>
      </c>
      <c r="B200" s="1">
        <v>45604.792442129627</v>
      </c>
    </row>
    <row r="201" spans="1:2">
      <c r="A201">
        <v>24037235</v>
      </c>
      <c r="B201" s="1">
        <v>45604.792442129627</v>
      </c>
    </row>
    <row r="202" spans="1:2">
      <c r="A202">
        <v>24036049</v>
      </c>
      <c r="B202" s="1">
        <v>45604.792442129627</v>
      </c>
    </row>
    <row r="203" spans="1:2">
      <c r="A203">
        <v>24031450</v>
      </c>
      <c r="B203" s="1">
        <v>45604.792442129627</v>
      </c>
    </row>
    <row r="204" spans="1:2">
      <c r="A204">
        <v>24005719</v>
      </c>
      <c r="B204" s="1">
        <v>45604.792442129627</v>
      </c>
    </row>
    <row r="205" spans="1:2">
      <c r="A205">
        <v>24002426</v>
      </c>
      <c r="B205" s="1">
        <v>45604.792442129627</v>
      </c>
    </row>
    <row r="206" spans="1:2">
      <c r="A206">
        <v>23105893</v>
      </c>
      <c r="B206" s="1">
        <v>45604.792442129627</v>
      </c>
    </row>
    <row r="207" spans="1:2">
      <c r="A207">
        <v>23105890</v>
      </c>
      <c r="B207" s="1">
        <v>45604.792442129627</v>
      </c>
    </row>
    <row r="208" spans="1:2">
      <c r="A208">
        <v>23105887</v>
      </c>
      <c r="B208" s="1">
        <v>45604.792442129627</v>
      </c>
    </row>
    <row r="209" spans="1:2">
      <c r="A209">
        <v>23105886</v>
      </c>
      <c r="B209" s="1">
        <v>45604.792442129627</v>
      </c>
    </row>
    <row r="210" spans="1:2">
      <c r="A210">
        <v>23105882</v>
      </c>
      <c r="B210" s="1">
        <v>45604.792442129627</v>
      </c>
    </row>
    <row r="211" spans="1:2">
      <c r="A211">
        <v>23086832</v>
      </c>
      <c r="B211" s="1">
        <v>45604.792442129627</v>
      </c>
    </row>
    <row r="212" spans="1:2">
      <c r="A212">
        <v>23085766</v>
      </c>
      <c r="B212" s="1">
        <v>45604.792442129627</v>
      </c>
    </row>
    <row r="213" spans="1:2">
      <c r="A213">
        <v>23050487</v>
      </c>
      <c r="B213" s="1">
        <v>45604.792442129627</v>
      </c>
    </row>
    <row r="214" spans="1:2">
      <c r="A214">
        <v>23044996</v>
      </c>
      <c r="B214" s="1">
        <v>45604.792442129627</v>
      </c>
    </row>
    <row r="215" spans="1:2">
      <c r="A215">
        <v>23021840</v>
      </c>
      <c r="B215" s="1">
        <v>45604.792442129627</v>
      </c>
    </row>
    <row r="216" spans="1:2">
      <c r="A216">
        <v>23020783</v>
      </c>
      <c r="B216" s="1">
        <v>45604.792442129627</v>
      </c>
    </row>
    <row r="217" spans="1:2">
      <c r="A217">
        <v>23002097</v>
      </c>
      <c r="B217" s="1">
        <v>45604.792442129627</v>
      </c>
    </row>
    <row r="218" spans="1:2">
      <c r="A218">
        <v>22132597</v>
      </c>
      <c r="B218" s="1">
        <v>45604.792442129627</v>
      </c>
    </row>
    <row r="219" spans="1:2">
      <c r="A219">
        <v>22127932</v>
      </c>
      <c r="B219" s="1">
        <v>45604.792442129627</v>
      </c>
    </row>
    <row r="220" spans="1:2">
      <c r="A220">
        <v>22106682</v>
      </c>
      <c r="B220" s="1">
        <v>45604.792442129627</v>
      </c>
    </row>
    <row r="221" spans="1:2">
      <c r="A221">
        <v>22106561</v>
      </c>
      <c r="B221" s="1">
        <v>45604.792442129627</v>
      </c>
    </row>
    <row r="222" spans="1:2">
      <c r="A222">
        <v>22084801</v>
      </c>
      <c r="B222" s="1">
        <v>45604.792442129627</v>
      </c>
    </row>
    <row r="223" spans="1:2">
      <c r="A223">
        <v>22071047</v>
      </c>
      <c r="B223" s="1">
        <v>45604.792442129627</v>
      </c>
    </row>
    <row r="224" spans="1:2">
      <c r="A224">
        <v>22066626</v>
      </c>
      <c r="B224" s="1">
        <v>45604.792442129627</v>
      </c>
    </row>
    <row r="225" spans="1:2">
      <c r="A225">
        <v>22057434</v>
      </c>
      <c r="B225" s="1">
        <v>45604.792442129627</v>
      </c>
    </row>
    <row r="226" spans="1:2">
      <c r="A226">
        <v>22054729</v>
      </c>
      <c r="B226" s="1">
        <v>45604.792442129627</v>
      </c>
    </row>
    <row r="227" spans="1:2">
      <c r="A227">
        <v>22047363</v>
      </c>
      <c r="B227" s="1">
        <v>45604.792442129627</v>
      </c>
    </row>
    <row r="228" spans="1:2">
      <c r="A228">
        <v>22044003</v>
      </c>
      <c r="B228" s="1">
        <v>45604.792442129627</v>
      </c>
    </row>
    <row r="229" spans="1:2">
      <c r="A229">
        <v>22042452</v>
      </c>
      <c r="B229" s="1">
        <v>45604.792442129627</v>
      </c>
    </row>
    <row r="230" spans="1:2">
      <c r="A230">
        <v>22040235</v>
      </c>
      <c r="B230" s="1">
        <v>45604.792442129627</v>
      </c>
    </row>
    <row r="231" spans="1:2">
      <c r="A231">
        <v>22031559</v>
      </c>
      <c r="B231" s="1">
        <v>45604.792442129627</v>
      </c>
    </row>
    <row r="232" spans="1:2">
      <c r="A232">
        <v>22009807</v>
      </c>
      <c r="B232" s="1">
        <v>45604.792442129627</v>
      </c>
    </row>
    <row r="233" spans="1:2">
      <c r="A233">
        <v>22008022</v>
      </c>
      <c r="B233" s="1">
        <v>45604.792442129627</v>
      </c>
    </row>
    <row r="234" spans="1:2">
      <c r="A234">
        <v>22006432</v>
      </c>
      <c r="B234" s="1">
        <v>45604.792442129627</v>
      </c>
    </row>
    <row r="235" spans="1:2">
      <c r="A235">
        <v>21138378</v>
      </c>
      <c r="B235" s="1">
        <v>45604.792442129627</v>
      </c>
    </row>
    <row r="236" spans="1:2">
      <c r="A236">
        <v>21134312</v>
      </c>
      <c r="B236" s="1">
        <v>45604.792442129627</v>
      </c>
    </row>
    <row r="237" spans="1:2">
      <c r="A237">
        <v>21111429</v>
      </c>
      <c r="B237" s="1">
        <v>45604.792442129627</v>
      </c>
    </row>
    <row r="238" spans="1:2">
      <c r="A238">
        <v>21101824</v>
      </c>
      <c r="B238" s="1">
        <v>45604.792442129627</v>
      </c>
    </row>
    <row r="239" spans="1:2">
      <c r="A239">
        <v>21098230</v>
      </c>
      <c r="B239" s="1">
        <v>45604.792442129627</v>
      </c>
    </row>
    <row r="240" spans="1:2">
      <c r="A240">
        <v>21096642</v>
      </c>
      <c r="B240" s="1">
        <v>45604.792442129627</v>
      </c>
    </row>
    <row r="241" spans="1:2">
      <c r="A241">
        <v>21086047</v>
      </c>
      <c r="B241" s="1">
        <v>45604.792442129627</v>
      </c>
    </row>
    <row r="242" spans="1:2">
      <c r="A242">
        <v>21067003</v>
      </c>
      <c r="B242" s="1">
        <v>45604.792442129627</v>
      </c>
    </row>
    <row r="243" spans="1:2">
      <c r="A243">
        <v>21049336</v>
      </c>
      <c r="B243" s="1">
        <v>45604.792442129627</v>
      </c>
    </row>
    <row r="244" spans="1:2">
      <c r="A244">
        <v>21043137</v>
      </c>
      <c r="B244" s="1">
        <v>45604.792442129627</v>
      </c>
    </row>
    <row r="245" spans="1:2">
      <c r="A245">
        <v>21042972</v>
      </c>
      <c r="B245" s="1">
        <v>45604.792442129627</v>
      </c>
    </row>
    <row r="246" spans="1:2">
      <c r="A246">
        <v>21042725</v>
      </c>
      <c r="B246" s="1">
        <v>45604.792442129627</v>
      </c>
    </row>
    <row r="247" spans="1:2">
      <c r="A247">
        <v>21038459</v>
      </c>
      <c r="B247" s="1">
        <v>45604.792442129627</v>
      </c>
    </row>
    <row r="248" spans="1:2">
      <c r="A248">
        <v>21037568</v>
      </c>
      <c r="B248" s="1">
        <v>45604.792442129627</v>
      </c>
    </row>
    <row r="249" spans="1:2">
      <c r="A249">
        <v>21037434</v>
      </c>
      <c r="B249" s="1">
        <v>45604.792442129627</v>
      </c>
    </row>
    <row r="250" spans="1:2">
      <c r="A250">
        <v>21020748</v>
      </c>
      <c r="B250" s="1">
        <v>45604.792442129627</v>
      </c>
    </row>
    <row r="251" spans="1:2">
      <c r="A251">
        <v>20138136</v>
      </c>
      <c r="B251" s="1">
        <v>45604.792442129627</v>
      </c>
    </row>
    <row r="252" spans="1:2">
      <c r="A252">
        <v>20062137</v>
      </c>
      <c r="B252" s="1">
        <v>45604.792442129627</v>
      </c>
    </row>
    <row r="253" spans="1:2">
      <c r="A253">
        <v>20043813</v>
      </c>
      <c r="B253" s="1">
        <v>45604.792442129627</v>
      </c>
    </row>
    <row r="254" spans="1:2">
      <c r="A254">
        <v>20027141</v>
      </c>
      <c r="B254" s="1">
        <v>45604.792442129627</v>
      </c>
    </row>
    <row r="255" spans="1:2">
      <c r="A255">
        <v>20024106</v>
      </c>
      <c r="B255" s="1">
        <v>45604.792442129627</v>
      </c>
    </row>
    <row r="256" spans="1:2">
      <c r="A256">
        <v>20024097</v>
      </c>
      <c r="B256" s="1">
        <v>45604.792442129627</v>
      </c>
    </row>
    <row r="257" spans="1:2">
      <c r="A257">
        <v>20024089</v>
      </c>
      <c r="B257" s="1">
        <v>45604.792442129627</v>
      </c>
    </row>
    <row r="258" spans="1:2">
      <c r="A258">
        <v>20013021</v>
      </c>
      <c r="B258" s="1">
        <v>45604.792442129627</v>
      </c>
    </row>
    <row r="259" spans="1:2">
      <c r="A259">
        <v>20006021</v>
      </c>
      <c r="B259" s="1">
        <v>45604.792442129627</v>
      </c>
    </row>
    <row r="260" spans="1:2">
      <c r="A260">
        <v>19141784</v>
      </c>
      <c r="B260" s="1">
        <v>45604.792442129627</v>
      </c>
    </row>
    <row r="261" spans="1:2">
      <c r="A261">
        <v>19123585</v>
      </c>
      <c r="B261" s="1">
        <v>45604.792442129627</v>
      </c>
    </row>
    <row r="262" spans="1:2">
      <c r="A262">
        <v>19120277</v>
      </c>
      <c r="B262" s="1">
        <v>45604.792442129627</v>
      </c>
    </row>
    <row r="263" spans="1:2">
      <c r="A263">
        <v>19119314</v>
      </c>
      <c r="B263" s="1">
        <v>45604.792442129627</v>
      </c>
    </row>
    <row r="264" spans="1:2">
      <c r="A264">
        <v>19115773</v>
      </c>
      <c r="B264" s="1">
        <v>45604.792442129627</v>
      </c>
    </row>
    <row r="265" spans="1:2">
      <c r="A265">
        <v>19115772</v>
      </c>
      <c r="B265" s="1">
        <v>45604.792442129627</v>
      </c>
    </row>
    <row r="266" spans="1:2">
      <c r="A266">
        <v>19104661</v>
      </c>
      <c r="B266" s="1">
        <v>45604.792442129627</v>
      </c>
    </row>
    <row r="267" spans="1:2">
      <c r="A267">
        <v>19088514</v>
      </c>
      <c r="B267" s="1">
        <v>45604.792442129627</v>
      </c>
    </row>
    <row r="268" spans="1:2">
      <c r="A268">
        <v>19052834</v>
      </c>
      <c r="B268" s="1">
        <v>45604.792442129627</v>
      </c>
    </row>
    <row r="269" spans="1:2">
      <c r="A269">
        <v>18072547</v>
      </c>
      <c r="B269" s="1">
        <v>45604.792442129627</v>
      </c>
    </row>
    <row r="270" spans="1:2">
      <c r="A270">
        <v>18069076</v>
      </c>
      <c r="B270" s="1">
        <v>45604.792442129627</v>
      </c>
    </row>
    <row r="271" spans="1:2">
      <c r="A271">
        <v>18066194</v>
      </c>
      <c r="B271" s="1">
        <v>45604.792442129627</v>
      </c>
    </row>
    <row r="272" spans="1:2">
      <c r="A272">
        <v>18060973</v>
      </c>
      <c r="B272" s="1">
        <v>45604.792442129627</v>
      </c>
    </row>
    <row r="273" spans="1:2">
      <c r="A273">
        <v>18040146</v>
      </c>
      <c r="B273" s="1">
        <v>45604.792442129627</v>
      </c>
    </row>
    <row r="274" spans="1:2">
      <c r="A274">
        <v>18037269</v>
      </c>
      <c r="B274" s="1">
        <v>45604.792442129627</v>
      </c>
    </row>
    <row r="275" spans="1:2">
      <c r="A275">
        <v>18037251</v>
      </c>
      <c r="B275" s="1">
        <v>45604.792442129627</v>
      </c>
    </row>
    <row r="276" spans="1:2">
      <c r="A276">
        <v>18008472</v>
      </c>
      <c r="B276" s="1">
        <v>45604.792442129627</v>
      </c>
    </row>
    <row r="277" spans="1:2">
      <c r="A277">
        <v>17093963</v>
      </c>
      <c r="B277" s="1">
        <v>45604.792442129627</v>
      </c>
    </row>
    <row r="278" spans="1:2">
      <c r="A278">
        <v>17088697</v>
      </c>
      <c r="B278" s="1">
        <v>45604.792442129627</v>
      </c>
    </row>
    <row r="279" spans="1:2">
      <c r="A279">
        <v>17081111</v>
      </c>
      <c r="B279" s="1">
        <v>45604.792442129627</v>
      </c>
    </row>
    <row r="280" spans="1:2">
      <c r="A280">
        <v>17052059</v>
      </c>
      <c r="B280" s="1">
        <v>45604.792442129627</v>
      </c>
    </row>
    <row r="281" spans="1:2">
      <c r="A281">
        <v>17040267</v>
      </c>
      <c r="B281" s="1">
        <v>45604.792442129627</v>
      </c>
    </row>
    <row r="282" spans="1:2">
      <c r="A282">
        <v>16046711</v>
      </c>
      <c r="B282" s="1">
        <v>45604.792442129627</v>
      </c>
    </row>
    <row r="283" spans="1:2">
      <c r="A283">
        <v>16007990</v>
      </c>
      <c r="B283" s="1">
        <v>45604.792442129627</v>
      </c>
    </row>
    <row r="284" spans="1:2">
      <c r="A284">
        <v>15087900</v>
      </c>
      <c r="B284" s="1">
        <v>45604.792442129627</v>
      </c>
    </row>
    <row r="285" spans="1:2">
      <c r="A285">
        <v>15067917</v>
      </c>
      <c r="B285" s="1">
        <v>45604.792442129627</v>
      </c>
    </row>
    <row r="286" spans="1:2">
      <c r="A286">
        <v>15063627</v>
      </c>
      <c r="B286" s="1">
        <v>45604.792442129627</v>
      </c>
    </row>
    <row r="287" spans="1:2">
      <c r="A287">
        <v>15051764</v>
      </c>
      <c r="B287" s="1">
        <v>45604.792442129627</v>
      </c>
    </row>
    <row r="288" spans="1:2">
      <c r="A288">
        <v>15003131</v>
      </c>
      <c r="B288" s="1">
        <v>45604.792442129627</v>
      </c>
    </row>
    <row r="289" spans="1:2">
      <c r="A289">
        <v>13061130</v>
      </c>
      <c r="B289" s="1">
        <v>45604.792442129627</v>
      </c>
    </row>
    <row r="290" spans="1:2">
      <c r="A290">
        <v>13037502</v>
      </c>
      <c r="B290" s="1">
        <v>45604.792442129627</v>
      </c>
    </row>
    <row r="291" spans="1:2">
      <c r="A291">
        <v>12105278</v>
      </c>
      <c r="B291" s="1">
        <v>45604.792442129627</v>
      </c>
    </row>
    <row r="292" spans="1:2">
      <c r="A292">
        <v>12065395</v>
      </c>
      <c r="B292" s="1">
        <v>45604.792442129627</v>
      </c>
    </row>
    <row r="293" spans="1:2">
      <c r="A293">
        <v>12056745</v>
      </c>
      <c r="B293" s="1">
        <v>45604.792442129627</v>
      </c>
    </row>
    <row r="294" spans="1:2">
      <c r="A294">
        <v>12023981</v>
      </c>
      <c r="B294" s="1">
        <v>45604.792442129627</v>
      </c>
    </row>
    <row r="295" spans="1:2">
      <c r="A295">
        <v>12012036</v>
      </c>
      <c r="B295" s="1">
        <v>45604.792442129627</v>
      </c>
    </row>
    <row r="296" spans="1:2">
      <c r="A296">
        <v>24111175</v>
      </c>
      <c r="B296" s="1">
        <v>45606.547407407408</v>
      </c>
    </row>
    <row r="297" spans="1:2">
      <c r="A297">
        <v>24111173</v>
      </c>
      <c r="B297" s="1">
        <v>45606.547407407408</v>
      </c>
    </row>
    <row r="298" spans="1:2">
      <c r="A298">
        <v>99999999</v>
      </c>
      <c r="B298" s="1">
        <v>45606.549363425926</v>
      </c>
    </row>
    <row r="299" spans="1:2">
      <c r="A299">
        <v>99999999</v>
      </c>
      <c r="B299" s="1">
        <v>45606.648634259262</v>
      </c>
    </row>
    <row r="300" spans="1:2">
      <c r="A300">
        <v>24111178</v>
      </c>
      <c r="B300" s="1">
        <v>45606.747546296298</v>
      </c>
    </row>
    <row r="301" spans="1:2">
      <c r="B301" s="1"/>
    </row>
    <row r="302" spans="1:2">
      <c r="B302" s="1"/>
    </row>
    <row r="303" spans="1:2">
      <c r="B303" s="1"/>
    </row>
    <row r="304" spans="1:2">
      <c r="B304" s="1"/>
    </row>
    <row r="305" spans="2:2">
      <c r="B305" s="1"/>
    </row>
    <row r="306" spans="2:2">
      <c r="B306" s="1"/>
    </row>
    <row r="307" spans="2:2">
      <c r="B307" s="1"/>
    </row>
    <row r="308" spans="2:2">
      <c r="B308" s="1"/>
    </row>
    <row r="309" spans="2:2">
      <c r="B309" s="1"/>
    </row>
    <row r="310" spans="2:2">
      <c r="B310" s="1"/>
    </row>
    <row r="311" spans="2:2">
      <c r="B311" s="1"/>
    </row>
    <row r="312" spans="2:2">
      <c r="B312" s="1"/>
    </row>
    <row r="313" spans="2:2">
      <c r="B313" s="1"/>
    </row>
    <row r="314" spans="2:2">
      <c r="B314" s="1"/>
    </row>
    <row r="315" spans="2:2">
      <c r="B315" s="1"/>
    </row>
    <row r="316" spans="2:2">
      <c r="B316" s="1"/>
    </row>
    <row r="317" spans="2:2">
      <c r="B317" s="1"/>
    </row>
    <row r="318" spans="2:2">
      <c r="B318" s="1"/>
    </row>
    <row r="319" spans="2:2">
      <c r="B319" s="1"/>
    </row>
    <row r="320" spans="2:2">
      <c r="B320" s="1"/>
    </row>
    <row r="321" spans="2:2">
      <c r="B321" s="1"/>
    </row>
    <row r="322" spans="2:2">
      <c r="B322" s="1"/>
    </row>
    <row r="323" spans="2:2">
      <c r="B323" s="1"/>
    </row>
    <row r="324" spans="2:2">
      <c r="B324" s="1"/>
    </row>
    <row r="325" spans="2:2">
      <c r="B325" s="1"/>
    </row>
    <row r="326" spans="2:2">
      <c r="B326" s="1"/>
    </row>
    <row r="327" spans="2:2">
      <c r="B327" s="1"/>
    </row>
    <row r="328" spans="2:2">
      <c r="B328" s="1"/>
    </row>
    <row r="329" spans="2:2">
      <c r="B329" s="1"/>
    </row>
    <row r="330" spans="2:2">
      <c r="B330" s="1"/>
    </row>
    <row r="331" spans="2:2">
      <c r="B331" s="1"/>
    </row>
    <row r="332" spans="2:2">
      <c r="B332" s="1"/>
    </row>
    <row r="333" spans="2:2">
      <c r="B333" s="1"/>
    </row>
    <row r="334" spans="2:2">
      <c r="B334" s="1"/>
    </row>
    <row r="335" spans="2:2">
      <c r="B335" s="1"/>
    </row>
    <row r="336" spans="2:2">
      <c r="B336" s="1"/>
    </row>
    <row r="337" spans="2:2">
      <c r="B337" s="1"/>
    </row>
    <row r="338" spans="2:2">
      <c r="B338" s="1"/>
    </row>
    <row r="339" spans="2:2">
      <c r="B339" s="1"/>
    </row>
    <row r="340" spans="2:2">
      <c r="B340" s="1"/>
    </row>
    <row r="341" spans="2:2">
      <c r="B341" s="1"/>
    </row>
    <row r="342" spans="2:2">
      <c r="B342" s="1"/>
    </row>
    <row r="343" spans="2:2">
      <c r="B343" s="1"/>
    </row>
    <row r="344" spans="2:2">
      <c r="B344" s="1"/>
    </row>
    <row r="345" spans="2:2">
      <c r="B345" s="1"/>
    </row>
    <row r="346" spans="2:2">
      <c r="B346" s="1"/>
    </row>
    <row r="347" spans="2:2">
      <c r="B347" s="1"/>
    </row>
    <row r="348" spans="2:2">
      <c r="B348" s="1"/>
    </row>
    <row r="349" spans="2:2">
      <c r="B349" s="1"/>
    </row>
    <row r="350" spans="2:2">
      <c r="B350" s="1"/>
    </row>
    <row r="351" spans="2:2">
      <c r="B351" s="1"/>
    </row>
    <row r="352" spans="2:2">
      <c r="B352" s="1"/>
    </row>
    <row r="353" spans="2:2">
      <c r="B353" s="1"/>
    </row>
    <row r="354" spans="2:2">
      <c r="B354" s="1"/>
    </row>
    <row r="355" spans="2:2">
      <c r="B355" s="1"/>
    </row>
    <row r="356" spans="2:2">
      <c r="B356" s="1"/>
    </row>
    <row r="357" spans="2:2">
      <c r="B357" s="1"/>
    </row>
    <row r="358" spans="2:2">
      <c r="B358" s="1"/>
    </row>
    <row r="359" spans="2:2">
      <c r="B359" s="1"/>
    </row>
    <row r="360" spans="2:2">
      <c r="B360" s="1"/>
    </row>
    <row r="361" spans="2:2">
      <c r="B361" s="1"/>
    </row>
    <row r="362" spans="2:2">
      <c r="B362" s="1"/>
    </row>
    <row r="363" spans="2:2">
      <c r="B363" s="1"/>
    </row>
    <row r="364" spans="2:2">
      <c r="B364" s="1"/>
    </row>
    <row r="365" spans="2:2">
      <c r="B365" s="1"/>
    </row>
    <row r="366" spans="2:2">
      <c r="B366" s="1"/>
    </row>
    <row r="367" spans="2:2">
      <c r="B367" s="1"/>
    </row>
    <row r="368" spans="2:2">
      <c r="B368" s="1"/>
    </row>
    <row r="369" spans="2:2">
      <c r="B369" s="1"/>
    </row>
    <row r="370" spans="2:2">
      <c r="B370" s="1"/>
    </row>
    <row r="371" spans="2:2">
      <c r="B371" s="1"/>
    </row>
    <row r="372" spans="2:2">
      <c r="B372" s="1"/>
    </row>
    <row r="373" spans="2:2">
      <c r="B373" s="1"/>
    </row>
    <row r="374" spans="2:2">
      <c r="B374" s="1"/>
    </row>
    <row r="375" spans="2:2">
      <c r="B375" s="1"/>
    </row>
    <row r="376" spans="2:2">
      <c r="B376" s="1"/>
    </row>
    <row r="377" spans="2:2">
      <c r="B377" s="1"/>
    </row>
    <row r="378" spans="2:2">
      <c r="B378" s="1"/>
    </row>
    <row r="379" spans="2:2">
      <c r="B379" s="1"/>
    </row>
    <row r="380" spans="2:2">
      <c r="B380" s="1"/>
    </row>
    <row r="381" spans="2:2">
      <c r="B381" s="1"/>
    </row>
    <row r="382" spans="2:2">
      <c r="B382" s="1"/>
    </row>
    <row r="383" spans="2:2">
      <c r="B383" s="1"/>
    </row>
    <row r="384" spans="2:2">
      <c r="B384" s="1"/>
    </row>
    <row r="385" spans="2:2">
      <c r="B385" s="1"/>
    </row>
    <row r="386" spans="2:2">
      <c r="B386" s="1"/>
    </row>
    <row r="387" spans="2:2">
      <c r="B387" s="1"/>
    </row>
    <row r="388" spans="2:2">
      <c r="B388" s="1"/>
    </row>
    <row r="389" spans="2:2">
      <c r="B389" s="1"/>
    </row>
    <row r="390" spans="2:2">
      <c r="B390" s="1"/>
    </row>
    <row r="391" spans="2:2">
      <c r="B391" s="1"/>
    </row>
    <row r="392" spans="2:2">
      <c r="B392" s="1"/>
    </row>
    <row r="393" spans="2:2">
      <c r="B393" s="1"/>
    </row>
    <row r="394" spans="2:2">
      <c r="B394" s="1"/>
    </row>
    <row r="395" spans="2:2">
      <c r="B395" s="1"/>
    </row>
    <row r="396" spans="2:2">
      <c r="B396" s="1"/>
    </row>
  </sheetData>
  <phoneticPr fontId="2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O89"/>
  <sheetViews>
    <sheetView workbookViewId="0"/>
  </sheetViews>
  <sheetFormatPr defaultRowHeight="18.75"/>
  <cols>
    <col min="2" max="2" width="37.875" customWidth="1"/>
    <col min="3" max="3" width="27.375" customWidth="1"/>
    <col min="4" max="4" width="19.375" customWidth="1"/>
    <col min="5" max="5" width="11.375" bestFit="1" customWidth="1"/>
    <col min="11" max="11" width="11" bestFit="1" customWidth="1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16</v>
      </c>
      <c r="I1" t="s">
        <v>17</v>
      </c>
      <c r="J1" t="s">
        <v>18</v>
      </c>
      <c r="K1" t="s">
        <v>19</v>
      </c>
      <c r="L1" t="s">
        <v>20</v>
      </c>
      <c r="M1" t="s">
        <v>128</v>
      </c>
      <c r="N1" t="s">
        <v>132</v>
      </c>
      <c r="O1" t="s">
        <v>133</v>
      </c>
    </row>
    <row r="2" spans="1:15">
      <c r="A2">
        <v>24111151</v>
      </c>
      <c r="E2" s="2"/>
      <c r="K2" s="2"/>
    </row>
    <row r="3" spans="1:15">
      <c r="A3">
        <v>24111143</v>
      </c>
      <c r="E3" s="2"/>
      <c r="K3" s="2"/>
    </row>
    <row r="4" spans="1:15">
      <c r="A4">
        <v>24111141</v>
      </c>
      <c r="E4" s="2"/>
      <c r="K4" s="2"/>
    </row>
    <row r="5" spans="1:15">
      <c r="A5">
        <v>24111140</v>
      </c>
      <c r="E5" s="2"/>
      <c r="K5" s="2"/>
    </row>
    <row r="6" spans="1:15">
      <c r="A6">
        <v>24111135</v>
      </c>
      <c r="E6" s="2"/>
      <c r="K6" s="2"/>
    </row>
    <row r="7" spans="1:15">
      <c r="A7">
        <v>24111118</v>
      </c>
      <c r="E7" s="2"/>
      <c r="K7" s="2"/>
    </row>
    <row r="8" spans="1:15">
      <c r="A8">
        <v>24111115</v>
      </c>
      <c r="E8" s="2"/>
      <c r="K8" s="2"/>
    </row>
    <row r="9" spans="1:15">
      <c r="A9">
        <v>24111110</v>
      </c>
      <c r="E9" s="2"/>
      <c r="K9" s="2"/>
    </row>
    <row r="10" spans="1:15">
      <c r="A10">
        <v>24111108</v>
      </c>
      <c r="E10" s="2"/>
      <c r="K10" s="2"/>
    </row>
    <row r="11" spans="1:15">
      <c r="A11">
        <v>24111099</v>
      </c>
      <c r="E11" s="2"/>
      <c r="K11" s="2"/>
    </row>
    <row r="12" spans="1:15">
      <c r="A12">
        <v>24111097</v>
      </c>
      <c r="E12" s="2"/>
      <c r="K12" s="2"/>
    </row>
    <row r="13" spans="1:15">
      <c r="A13">
        <v>24111096</v>
      </c>
      <c r="E13" s="2"/>
      <c r="K13" s="2"/>
    </row>
    <row r="14" spans="1:15">
      <c r="A14">
        <v>24111092</v>
      </c>
      <c r="E14" s="2"/>
      <c r="K14" s="2"/>
    </row>
    <row r="15" spans="1:15">
      <c r="A15">
        <v>24111087</v>
      </c>
      <c r="E15" s="2"/>
      <c r="K15" s="2"/>
    </row>
    <row r="16" spans="1:15">
      <c r="A16">
        <v>24111086</v>
      </c>
      <c r="E16" s="2"/>
      <c r="K16" s="2"/>
    </row>
    <row r="17" spans="1:11">
      <c r="A17">
        <v>24111085</v>
      </c>
      <c r="E17" s="2"/>
      <c r="K17" s="2"/>
    </row>
    <row r="18" spans="1:11">
      <c r="A18">
        <v>24111080</v>
      </c>
      <c r="E18" s="2"/>
      <c r="K18" s="2"/>
    </row>
    <row r="19" spans="1:11">
      <c r="A19">
        <v>24111078</v>
      </c>
      <c r="E19" s="2"/>
      <c r="K19" s="2"/>
    </row>
    <row r="20" spans="1:11">
      <c r="A20">
        <v>24111076</v>
      </c>
      <c r="E20" s="2"/>
      <c r="K20" s="2"/>
    </row>
    <row r="21" spans="1:11">
      <c r="A21">
        <v>24111068</v>
      </c>
      <c r="E21" s="2"/>
      <c r="K21" s="2"/>
    </row>
    <row r="22" spans="1:11">
      <c r="A22">
        <v>24111066</v>
      </c>
      <c r="E22" s="2"/>
      <c r="K22" s="2"/>
    </row>
    <row r="23" spans="1:11">
      <c r="A23">
        <v>24111058</v>
      </c>
      <c r="E23" s="2"/>
      <c r="K23" s="2"/>
    </row>
    <row r="24" spans="1:11">
      <c r="A24">
        <v>24111050</v>
      </c>
      <c r="E24" s="2"/>
      <c r="K24" s="2"/>
    </row>
    <row r="25" spans="1:11">
      <c r="A25">
        <v>24111046</v>
      </c>
      <c r="E25" s="2"/>
      <c r="K25" s="2"/>
    </row>
    <row r="26" spans="1:11">
      <c r="A26">
        <v>24111039</v>
      </c>
      <c r="E26" s="2"/>
      <c r="K26" s="2"/>
    </row>
    <row r="27" spans="1:11">
      <c r="A27">
        <v>24111034</v>
      </c>
      <c r="E27" s="2"/>
      <c r="K27" s="2"/>
    </row>
    <row r="28" spans="1:11">
      <c r="A28">
        <v>24111032</v>
      </c>
      <c r="E28" s="2"/>
      <c r="K28" s="2"/>
    </row>
    <row r="29" spans="1:11">
      <c r="A29">
        <v>24111023</v>
      </c>
      <c r="E29" s="2"/>
      <c r="K29" s="2"/>
    </row>
    <row r="30" spans="1:11">
      <c r="A30">
        <v>24111006</v>
      </c>
      <c r="E30" s="2"/>
      <c r="K30" s="2"/>
    </row>
    <row r="31" spans="1:11">
      <c r="A31">
        <v>24111002</v>
      </c>
      <c r="E31" s="2"/>
      <c r="K31" s="2"/>
    </row>
    <row r="32" spans="1:11">
      <c r="A32">
        <v>24111001</v>
      </c>
      <c r="E32" s="2"/>
      <c r="K32" s="2"/>
    </row>
    <row r="33" spans="1:11">
      <c r="A33">
        <v>24111000</v>
      </c>
      <c r="E33" s="2"/>
      <c r="K33" s="2"/>
    </row>
    <row r="34" spans="1:11">
      <c r="A34">
        <v>24110997</v>
      </c>
      <c r="E34" s="2"/>
      <c r="K34" s="2"/>
    </row>
    <row r="35" spans="1:11">
      <c r="A35">
        <v>24110995</v>
      </c>
      <c r="E35" s="2"/>
      <c r="K35" s="2"/>
    </row>
    <row r="36" spans="1:11">
      <c r="A36">
        <v>24110994</v>
      </c>
      <c r="E36" s="2"/>
      <c r="K36" s="2"/>
    </row>
    <row r="37" spans="1:11">
      <c r="A37">
        <v>24110990</v>
      </c>
      <c r="E37" s="2"/>
      <c r="K37" s="2"/>
    </row>
    <row r="38" spans="1:11">
      <c r="E38" s="2"/>
      <c r="K38" s="2"/>
    </row>
    <row r="39" spans="1:11">
      <c r="E39" s="2"/>
      <c r="K39" s="2"/>
    </row>
    <row r="40" spans="1:11">
      <c r="E40" s="2"/>
      <c r="K40" s="2"/>
    </row>
    <row r="41" spans="1:11">
      <c r="E41" s="2"/>
      <c r="K41" s="2"/>
    </row>
    <row r="42" spans="1:11">
      <c r="E42" s="2"/>
      <c r="K42" s="2"/>
    </row>
    <row r="43" spans="1:11">
      <c r="E43" s="2"/>
      <c r="K43" s="2"/>
    </row>
    <row r="44" spans="1:11">
      <c r="E44" s="2"/>
      <c r="K44" s="2"/>
    </row>
    <row r="45" spans="1:11">
      <c r="E45" s="2"/>
      <c r="K45" s="2"/>
    </row>
    <row r="46" spans="1:11">
      <c r="E46" s="2"/>
      <c r="K46" s="2"/>
    </row>
    <row r="47" spans="1:11">
      <c r="E47" s="2"/>
      <c r="K47" s="2"/>
    </row>
    <row r="48" spans="1:11">
      <c r="E48" s="2"/>
      <c r="K48" s="2"/>
    </row>
    <row r="49" spans="5:11">
      <c r="E49" s="2"/>
      <c r="K49" s="2"/>
    </row>
    <row r="50" spans="5:11">
      <c r="E50" s="2"/>
      <c r="K50" s="2"/>
    </row>
    <row r="51" spans="5:11">
      <c r="E51" s="2"/>
      <c r="K51" s="2"/>
    </row>
    <row r="52" spans="5:11">
      <c r="E52" s="2"/>
      <c r="K52" s="2"/>
    </row>
    <row r="53" spans="5:11">
      <c r="E53" s="2"/>
      <c r="K53" s="2"/>
    </row>
    <row r="54" spans="5:11">
      <c r="E54" s="2"/>
      <c r="K54" s="2"/>
    </row>
    <row r="55" spans="5:11">
      <c r="E55" s="2"/>
      <c r="K55" s="2"/>
    </row>
    <row r="56" spans="5:11">
      <c r="E56" s="2"/>
      <c r="K56" s="2"/>
    </row>
    <row r="57" spans="5:11">
      <c r="E57" s="2"/>
      <c r="K57" s="2"/>
    </row>
    <row r="58" spans="5:11">
      <c r="E58" s="2"/>
      <c r="K58" s="2"/>
    </row>
    <row r="59" spans="5:11">
      <c r="E59" s="2"/>
      <c r="K59" s="2"/>
    </row>
    <row r="60" spans="5:11">
      <c r="E60" s="2"/>
      <c r="K60" s="2"/>
    </row>
    <row r="61" spans="5:11">
      <c r="E61" s="2"/>
      <c r="K61" s="2"/>
    </row>
    <row r="62" spans="5:11">
      <c r="E62" s="2"/>
      <c r="K62" s="2"/>
    </row>
    <row r="63" spans="5:11">
      <c r="E63" s="2"/>
      <c r="K63" s="2"/>
    </row>
    <row r="64" spans="5:11">
      <c r="E64" s="2"/>
      <c r="K64" s="2"/>
    </row>
    <row r="65" spans="5:11">
      <c r="E65" s="2"/>
      <c r="K65" s="2"/>
    </row>
    <row r="66" spans="5:11">
      <c r="E66" s="2"/>
      <c r="K66" s="2"/>
    </row>
    <row r="67" spans="5:11">
      <c r="E67" s="2"/>
      <c r="K67" s="2"/>
    </row>
    <row r="68" spans="5:11">
      <c r="E68" s="2"/>
      <c r="K68" s="2"/>
    </row>
    <row r="69" spans="5:11">
      <c r="E69" s="2"/>
      <c r="K69" s="2"/>
    </row>
    <row r="70" spans="5:11">
      <c r="E70" s="2"/>
      <c r="K70" s="2"/>
    </row>
    <row r="71" spans="5:11">
      <c r="E71" s="2"/>
      <c r="K71" s="2"/>
    </row>
    <row r="72" spans="5:11">
      <c r="E72" s="2"/>
      <c r="K72" s="2"/>
    </row>
    <row r="73" spans="5:11">
      <c r="E73" s="2"/>
      <c r="K73" s="2"/>
    </row>
    <row r="74" spans="5:11">
      <c r="E74" s="2"/>
      <c r="K74" s="2"/>
    </row>
    <row r="75" spans="5:11">
      <c r="E75" s="2"/>
      <c r="K75" s="2"/>
    </row>
    <row r="76" spans="5:11">
      <c r="E76" s="2"/>
      <c r="K76" s="2"/>
    </row>
    <row r="77" spans="5:11">
      <c r="E77" s="2"/>
      <c r="K77" s="2"/>
    </row>
    <row r="78" spans="5:11">
      <c r="E78" s="2"/>
      <c r="K78" s="2"/>
    </row>
    <row r="79" spans="5:11">
      <c r="E79" s="2"/>
      <c r="K79" s="2"/>
    </row>
    <row r="80" spans="5:11">
      <c r="E80" s="2"/>
      <c r="K80" s="2"/>
    </row>
    <row r="81" spans="5:11">
      <c r="E81" s="2"/>
      <c r="K81" s="2"/>
    </row>
    <row r="82" spans="5:11">
      <c r="E82" s="2"/>
      <c r="K82" s="2"/>
    </row>
    <row r="83" spans="5:11">
      <c r="E83" s="2"/>
      <c r="K83" s="2"/>
    </row>
    <row r="84" spans="5:11">
      <c r="E84" s="2"/>
      <c r="K84" s="2"/>
    </row>
    <row r="85" spans="5:11">
      <c r="E85" s="2"/>
      <c r="K85" s="2"/>
    </row>
    <row r="86" spans="5:11">
      <c r="E86" s="2"/>
      <c r="K86" s="2"/>
    </row>
    <row r="87" spans="5:11">
      <c r="E87" s="2"/>
      <c r="K87" s="2"/>
    </row>
    <row r="88" spans="5:11">
      <c r="E88" s="2"/>
      <c r="K88" s="2"/>
    </row>
    <row r="89" spans="5:11">
      <c r="E89" s="2"/>
      <c r="K89" s="2"/>
    </row>
  </sheetData>
  <phoneticPr fontId="2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Y9"/>
  <sheetViews>
    <sheetView workbookViewId="0"/>
  </sheetViews>
  <sheetFormatPr defaultRowHeight="13.5"/>
  <cols>
    <col min="1" max="16384" width="9" style="9"/>
  </cols>
  <sheetData>
    <row r="1" spans="1:25">
      <c r="A1" s="9" t="s">
        <v>76</v>
      </c>
      <c r="B1" s="9">
        <v>24110990</v>
      </c>
    </row>
    <row r="2" spans="1:25">
      <c r="A2" s="9" t="s">
        <v>77</v>
      </c>
      <c r="B2" s="9" t="s">
        <v>47</v>
      </c>
      <c r="C2" s="9" t="s">
        <v>48</v>
      </c>
      <c r="D2" s="9" t="s">
        <v>49</v>
      </c>
      <c r="E2" s="9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  <c r="L2" s="9" t="s">
        <v>57</v>
      </c>
      <c r="M2" s="9" t="s">
        <v>58</v>
      </c>
      <c r="N2" s="9" t="s">
        <v>59</v>
      </c>
      <c r="O2" s="9" t="s">
        <v>60</v>
      </c>
      <c r="P2" s="9" t="s">
        <v>61</v>
      </c>
      <c r="Q2" s="9" t="s">
        <v>62</v>
      </c>
      <c r="R2" s="9" t="s">
        <v>63</v>
      </c>
      <c r="S2" s="9" t="s">
        <v>64</v>
      </c>
      <c r="T2" s="9" t="s">
        <v>65</v>
      </c>
      <c r="U2" s="9" t="s">
        <v>66</v>
      </c>
      <c r="V2" s="9" t="s">
        <v>67</v>
      </c>
      <c r="W2" s="9" t="s">
        <v>68</v>
      </c>
      <c r="X2" s="9" t="s">
        <v>69</v>
      </c>
      <c r="Y2" s="9" t="s">
        <v>70</v>
      </c>
    </row>
    <row r="3" spans="1:25">
      <c r="A3" s="9">
        <v>1</v>
      </c>
      <c r="B3" s="9">
        <v>1</v>
      </c>
      <c r="C3" s="9">
        <v>1</v>
      </c>
    </row>
    <row r="4" spans="1:25">
      <c r="A4" s="9">
        <v>1</v>
      </c>
      <c r="B4" s="9">
        <v>2</v>
      </c>
      <c r="C4" s="9">
        <v>1</v>
      </c>
    </row>
    <row r="5" spans="1:25">
      <c r="A5" s="9">
        <v>2</v>
      </c>
      <c r="B5" s="9">
        <v>1</v>
      </c>
      <c r="C5" s="9">
        <v>1</v>
      </c>
    </row>
    <row r="6" spans="1:25">
      <c r="A6" s="9">
        <v>3</v>
      </c>
      <c r="B6" s="9">
        <v>1</v>
      </c>
      <c r="C6" s="9">
        <v>1</v>
      </c>
    </row>
    <row r="7" spans="1:25">
      <c r="A7" s="9">
        <v>4</v>
      </c>
      <c r="B7" s="9">
        <v>1</v>
      </c>
      <c r="C7" s="9">
        <v>1</v>
      </c>
    </row>
    <row r="8" spans="1:25">
      <c r="A8" s="9">
        <v>4</v>
      </c>
      <c r="B8" s="9">
        <v>2</v>
      </c>
      <c r="C8" s="9">
        <v>1</v>
      </c>
    </row>
    <row r="9" spans="1:25">
      <c r="A9" s="9">
        <v>5</v>
      </c>
      <c r="B9" s="9">
        <v>1</v>
      </c>
      <c r="C9" s="9">
        <v>1</v>
      </c>
    </row>
  </sheetData>
  <phoneticPr fontId="2"/>
  <pageMargins left="0.7" right="0.7" top="0.75" bottom="0.75" header="0.3" footer="0.3"/>
  <pageSetup paperSize="9" orientation="portrait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X23"/>
  <sheetViews>
    <sheetView workbookViewId="0">
      <selection activeCell="O18" sqref="O18"/>
    </sheetView>
  </sheetViews>
  <sheetFormatPr defaultRowHeight="13.5"/>
  <cols>
    <col min="1" max="16384" width="9" style="9"/>
  </cols>
  <sheetData>
    <row r="1" spans="1:24" ht="54">
      <c r="A1" s="5" t="s">
        <v>47</v>
      </c>
      <c r="B1" s="5" t="s">
        <v>48</v>
      </c>
      <c r="C1" s="5" t="s">
        <v>49</v>
      </c>
      <c r="D1" s="5" t="s">
        <v>50</v>
      </c>
      <c r="E1" s="5" t="s">
        <v>51</v>
      </c>
      <c r="F1" s="5" t="s">
        <v>52</v>
      </c>
      <c r="G1" s="5" t="s">
        <v>53</v>
      </c>
      <c r="H1" s="5" t="s">
        <v>54</v>
      </c>
      <c r="I1" s="5" t="s">
        <v>55</v>
      </c>
      <c r="J1" s="5" t="s">
        <v>56</v>
      </c>
      <c r="K1" s="5" t="s">
        <v>57</v>
      </c>
      <c r="L1" s="5" t="s">
        <v>58</v>
      </c>
      <c r="M1" s="5" t="s">
        <v>59</v>
      </c>
      <c r="N1" s="5" t="s">
        <v>60</v>
      </c>
      <c r="O1" s="5" t="s">
        <v>61</v>
      </c>
      <c r="P1" s="5" t="s">
        <v>62</v>
      </c>
      <c r="Q1" s="5" t="s">
        <v>63</v>
      </c>
      <c r="R1" s="5" t="s">
        <v>64</v>
      </c>
      <c r="S1" s="5" t="s">
        <v>65</v>
      </c>
      <c r="T1" s="5" t="s">
        <v>66</v>
      </c>
      <c r="U1" s="5" t="s">
        <v>67</v>
      </c>
      <c r="V1" s="5" t="s">
        <v>68</v>
      </c>
      <c r="W1" s="5" t="s">
        <v>69</v>
      </c>
      <c r="X1" s="5" t="s">
        <v>70</v>
      </c>
    </row>
    <row r="2" spans="1:24" ht="18.7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45"/>
      <c r="M2" s="45"/>
      <c r="N2" s="6"/>
      <c r="O2" s="6"/>
      <c r="P2" s="6"/>
      <c r="Q2" s="6"/>
      <c r="R2" s="6"/>
      <c r="S2" s="6"/>
      <c r="T2" s="6"/>
      <c r="U2" s="6"/>
      <c r="V2" s="6"/>
      <c r="W2" s="6"/>
      <c r="X2" s="6"/>
    </row>
    <row r="3" spans="1:24" ht="18.75">
      <c r="A3" s="6"/>
      <c r="B3" s="6"/>
      <c r="C3" s="6"/>
      <c r="D3" s="6"/>
      <c r="E3" s="6"/>
      <c r="F3" s="6"/>
      <c r="G3" s="6"/>
      <c r="H3" s="7"/>
      <c r="I3" s="6"/>
      <c r="J3" s="6"/>
      <c r="K3" s="6"/>
      <c r="L3" s="45"/>
      <c r="M3" s="45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spans="1:24" ht="18.75">
      <c r="A4" s="6"/>
      <c r="B4" s="6"/>
      <c r="C4" s="6"/>
      <c r="D4" s="6"/>
      <c r="E4" s="6"/>
      <c r="F4" s="6"/>
      <c r="G4" s="6"/>
      <c r="H4" s="7"/>
      <c r="I4" s="6"/>
      <c r="J4" s="6"/>
      <c r="K4" s="6"/>
      <c r="L4" s="45"/>
      <c r="M4" s="45"/>
      <c r="N4" s="6"/>
      <c r="O4" s="6"/>
      <c r="P4" s="6"/>
      <c r="Q4" s="6"/>
      <c r="R4" s="6"/>
      <c r="S4" s="6"/>
      <c r="T4" s="6"/>
      <c r="U4" s="6"/>
      <c r="V4" s="6"/>
      <c r="W4" s="6"/>
      <c r="X4" s="6"/>
    </row>
    <row r="5" spans="1:24" ht="18.75">
      <c r="A5" s="6"/>
      <c r="B5" s="6"/>
      <c r="C5" s="6"/>
      <c r="D5" s="6"/>
      <c r="E5" s="6"/>
      <c r="F5" s="6"/>
      <c r="G5" s="6"/>
      <c r="H5" s="7"/>
      <c r="I5" s="6"/>
      <c r="J5" s="6"/>
      <c r="K5" s="6"/>
      <c r="L5" s="45"/>
      <c r="M5" s="45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1:24" ht="18.75">
      <c r="A6" s="6"/>
      <c r="B6" s="6"/>
      <c r="C6" s="6"/>
      <c r="D6" s="6"/>
      <c r="E6" s="6"/>
      <c r="F6" s="6"/>
      <c r="G6" s="6"/>
      <c r="H6" s="7"/>
      <c r="I6" s="6"/>
      <c r="J6" s="6"/>
      <c r="K6" s="6"/>
      <c r="L6" s="45"/>
      <c r="M6" s="45"/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1:24" ht="18.75">
      <c r="A7" s="6"/>
      <c r="B7" s="6"/>
      <c r="C7" s="6"/>
      <c r="D7" s="6"/>
      <c r="E7" s="6"/>
      <c r="F7" s="6"/>
      <c r="G7" s="6"/>
      <c r="H7" s="7"/>
      <c r="I7" s="6"/>
      <c r="J7" s="6"/>
      <c r="K7" s="6"/>
      <c r="L7" s="45"/>
      <c r="M7" s="45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1:24" ht="18.75">
      <c r="A8" s="6"/>
      <c r="B8" s="6"/>
      <c r="C8" s="6"/>
      <c r="D8" s="6"/>
      <c r="E8" s="6"/>
      <c r="F8" s="6"/>
      <c r="G8" s="6"/>
      <c r="H8" s="7"/>
      <c r="I8" s="6"/>
      <c r="J8" s="6"/>
      <c r="K8" s="6"/>
      <c r="L8" s="45"/>
      <c r="M8" s="45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 spans="1:24" ht="18.7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45"/>
      <c r="M9" s="45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1:24" ht="18.75">
      <c r="A10" s="6"/>
      <c r="B10" s="6"/>
      <c r="C10" s="6"/>
      <c r="D10" s="6"/>
      <c r="E10" s="6"/>
      <c r="F10" s="6"/>
      <c r="G10" s="6"/>
      <c r="H10" s="7"/>
      <c r="I10" s="6"/>
      <c r="J10" s="6"/>
      <c r="K10" s="6"/>
      <c r="L10" s="45"/>
      <c r="M10" s="45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1:24" ht="18.75">
      <c r="A11" s="6"/>
      <c r="B11" s="6"/>
      <c r="C11" s="6"/>
      <c r="D11" s="6"/>
      <c r="E11" s="6"/>
      <c r="F11" s="6"/>
      <c r="G11" s="6"/>
      <c r="H11" s="7"/>
      <c r="I11" s="6"/>
      <c r="J11" s="6"/>
      <c r="K11" s="6"/>
      <c r="L11" s="45"/>
      <c r="M11" s="45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</row>
    <row r="12" spans="1:24" ht="18.75">
      <c r="A12" s="6"/>
      <c r="B12" s="6"/>
      <c r="C12" s="6"/>
      <c r="D12" s="6"/>
      <c r="E12" s="6"/>
      <c r="F12" s="6"/>
      <c r="G12" s="6"/>
      <c r="H12" s="7"/>
      <c r="I12" s="6"/>
      <c r="J12" s="6"/>
      <c r="K12" s="6"/>
      <c r="L12" s="45"/>
      <c r="M12" s="45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1:24" ht="18.75">
      <c r="A13" s="6"/>
      <c r="B13" s="6"/>
      <c r="C13" s="6"/>
      <c r="D13" s="6"/>
      <c r="E13" s="6"/>
      <c r="F13" s="6"/>
      <c r="G13" s="6"/>
      <c r="H13" s="7"/>
      <c r="I13" s="6"/>
      <c r="J13" s="6"/>
      <c r="K13" s="6"/>
      <c r="L13" s="45"/>
      <c r="M13" s="45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1:24" ht="18.75">
      <c r="A14" s="6"/>
      <c r="B14" s="6"/>
      <c r="C14" s="6"/>
      <c r="D14" s="6"/>
      <c r="E14" s="6"/>
      <c r="F14" s="6"/>
      <c r="G14" s="6"/>
      <c r="H14" s="7"/>
      <c r="I14" s="6"/>
      <c r="J14" s="6"/>
      <c r="K14" s="6"/>
      <c r="L14" s="45"/>
      <c r="M14" s="45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</row>
    <row r="15" spans="1:24" ht="18.75">
      <c r="A15" s="6"/>
      <c r="B15" s="6"/>
      <c r="C15" s="6"/>
      <c r="D15" s="6"/>
      <c r="E15" s="6"/>
      <c r="F15" s="6"/>
      <c r="G15" s="6"/>
      <c r="H15" s="7"/>
      <c r="I15" s="6"/>
      <c r="J15" s="6"/>
      <c r="K15" s="6"/>
      <c r="L15" s="45"/>
      <c r="M15" s="45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</row>
    <row r="16" spans="1:24" ht="18.75">
      <c r="A16" s="6"/>
      <c r="B16" s="6"/>
      <c r="C16" s="6"/>
      <c r="D16" s="6"/>
      <c r="E16" s="6"/>
      <c r="F16" s="6"/>
      <c r="G16" s="6"/>
      <c r="H16" s="7"/>
      <c r="I16" s="6"/>
      <c r="J16" s="6"/>
      <c r="K16" s="6"/>
      <c r="L16" s="45"/>
      <c r="M16" s="45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</row>
    <row r="17" spans="1:24" ht="18.75">
      <c r="A17" s="6"/>
      <c r="B17" s="6"/>
      <c r="C17" s="6"/>
      <c r="D17" s="6"/>
      <c r="E17" s="6"/>
      <c r="F17" s="6"/>
      <c r="G17" s="6"/>
      <c r="H17" s="7"/>
      <c r="I17" s="6"/>
      <c r="J17" s="6"/>
      <c r="K17" s="6"/>
      <c r="L17" s="45"/>
      <c r="M17" s="45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</row>
    <row r="18" spans="1:24" ht="18.75">
      <c r="A18" s="6"/>
      <c r="B18" s="6"/>
      <c r="C18" s="6"/>
      <c r="D18" s="6"/>
      <c r="E18" s="6"/>
      <c r="F18" s="6"/>
      <c r="G18" s="6"/>
      <c r="H18" s="7"/>
      <c r="I18" s="6"/>
      <c r="J18" s="6"/>
      <c r="K18" s="6"/>
      <c r="L18" s="45"/>
      <c r="M18" s="45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</row>
    <row r="19" spans="1:24" ht="18.7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45"/>
      <c r="M19" s="45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</row>
    <row r="20" spans="1:24" ht="18.7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45"/>
      <c r="M20" s="45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</row>
    <row r="21" spans="1:24" ht="18.7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45"/>
      <c r="M21" s="45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</row>
    <row r="22" spans="1:24" ht="18.75">
      <c r="A22" s="6"/>
      <c r="B22" s="6"/>
      <c r="C22" s="6"/>
      <c r="D22" s="6"/>
      <c r="E22" s="6"/>
      <c r="F22" s="6"/>
      <c r="G22" s="6"/>
      <c r="H22" s="7"/>
      <c r="I22" s="6"/>
      <c r="J22" s="6"/>
      <c r="K22" s="6"/>
      <c r="L22" s="45"/>
      <c r="M22" s="45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</row>
    <row r="23" spans="1:24" ht="18.75">
      <c r="A23" s="6"/>
      <c r="B23" s="6"/>
      <c r="C23" s="6"/>
      <c r="D23" s="6"/>
      <c r="E23" s="6"/>
      <c r="F23" s="6"/>
      <c r="G23" s="6"/>
      <c r="H23" s="7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</row>
  </sheetData>
  <phoneticPr fontId="2"/>
  <pageMargins left="0.7" right="0.7" top="0.75" bottom="0.75" header="0.3" footer="0.3"/>
  <pageSetup paperSize="9" orientation="portrait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BQ250"/>
  <sheetViews>
    <sheetView workbookViewId="0"/>
  </sheetViews>
  <sheetFormatPr defaultColWidth="0" defaultRowHeight="15.75" zeroHeight="1"/>
  <cols>
    <col min="1" max="1" width="22.75" style="12" bestFit="1" customWidth="1"/>
    <col min="2" max="3" width="5.25" style="32" bestFit="1" customWidth="1"/>
    <col min="4" max="4" width="3.375" style="12" customWidth="1"/>
    <col min="5" max="5" width="11.875" style="12" bestFit="1" customWidth="1"/>
    <col min="6" max="7" width="5.75" style="12" bestFit="1" customWidth="1"/>
    <col min="8" max="8" width="3.375" style="12" customWidth="1"/>
    <col min="9" max="9" width="18.625" style="12" bestFit="1" customWidth="1"/>
    <col min="10" max="10" width="6.75" style="12" bestFit="1" customWidth="1"/>
    <col min="11" max="11" width="5.25" style="12" bestFit="1" customWidth="1"/>
    <col min="12" max="12" width="3.375" style="12" customWidth="1"/>
    <col min="13" max="13" width="17.5" style="12" bestFit="1" customWidth="1"/>
    <col min="14" max="14" width="5.5" style="32" bestFit="1" customWidth="1"/>
    <col min="15" max="15" width="9" style="12" customWidth="1"/>
    <col min="16" max="16" width="3.375" style="12" customWidth="1"/>
    <col min="17" max="17" width="16.5" style="12" bestFit="1" customWidth="1"/>
    <col min="18" max="19" width="9" style="32" customWidth="1"/>
    <col min="20" max="20" width="3.375" style="12" customWidth="1"/>
    <col min="21" max="21" width="15" style="41" bestFit="1" customWidth="1"/>
    <col min="22" max="22" width="21.625" style="32" bestFit="1" customWidth="1"/>
    <col min="23" max="23" width="3.375" style="12" customWidth="1"/>
    <col min="24" max="43" width="9" style="32" hidden="1" customWidth="1"/>
    <col min="44" max="44" width="9" style="32" customWidth="1"/>
    <col min="45" max="68" width="9" style="12" customWidth="1"/>
    <col min="69" max="69" width="0" style="12" hidden="1" customWidth="1"/>
    <col min="70" max="16384" width="9" style="12" hidden="1"/>
  </cols>
  <sheetData>
    <row r="1" spans="1:68">
      <c r="A1" s="10" t="s">
        <v>78</v>
      </c>
      <c r="B1" s="11"/>
      <c r="C1" s="11"/>
      <c r="E1" s="13" t="s">
        <v>79</v>
      </c>
      <c r="F1" s="14"/>
      <c r="G1" s="14"/>
      <c r="I1" s="15" t="s">
        <v>80</v>
      </c>
      <c r="J1" s="16"/>
      <c r="K1" s="16"/>
      <c r="M1" s="17" t="s">
        <v>121</v>
      </c>
      <c r="N1" s="18"/>
      <c r="O1" s="19"/>
      <c r="Q1" s="36" t="s">
        <v>120</v>
      </c>
      <c r="R1" s="37"/>
      <c r="S1" s="37"/>
      <c r="U1" s="42" t="s">
        <v>130</v>
      </c>
      <c r="V1" s="43"/>
      <c r="AR1" s="32" t="str">
        <f>IF(AS1="","",COUNTIF(費用項目一覧!A:A,判定詳細!AU1))</f>
        <v/>
      </c>
      <c r="AS1" s="12" t="str">
        <f>IF(検体毎項目情報!A2="","",検体毎項目情報!A2)</f>
        <v/>
      </c>
      <c r="AT1" s="12" t="str">
        <f>IF(検体毎項目情報!B2="","",検体毎項目情報!B2)</f>
        <v/>
      </c>
      <c r="AU1" s="12" t="str">
        <f>IF(検体毎項目情報!C2="","",検体毎項目情報!C2)</f>
        <v/>
      </c>
      <c r="AV1" s="12" t="str">
        <f>IF(検体毎項目情報!D2="","",検体毎項目情報!D2)</f>
        <v/>
      </c>
      <c r="AW1" s="12" t="str">
        <f>IF(検体毎項目情報!E2="","",検体毎項目情報!E2)</f>
        <v/>
      </c>
      <c r="AX1" s="12" t="str">
        <f>IF(検体毎項目情報!F2="","",検体毎項目情報!F2)</f>
        <v/>
      </c>
      <c r="AY1" s="12" t="str">
        <f>IF(検体毎項目情報!G2="","",検体毎項目情報!G2)</f>
        <v/>
      </c>
      <c r="AZ1" s="12" t="str">
        <f>IF(検体毎項目情報!H2="","",検体毎項目情報!H2)</f>
        <v/>
      </c>
      <c r="BA1" s="12" t="str">
        <f>IF(検体毎項目情報!I2="","",検体毎項目情報!I2)</f>
        <v/>
      </c>
      <c r="BB1" s="12" t="str">
        <f>IF(検体毎項目情報!J2="","",検体毎項目情報!J2)</f>
        <v/>
      </c>
      <c r="BC1" s="12" t="str">
        <f>IF(検体毎項目情報!K2="","",検体毎項目情報!K2)</f>
        <v/>
      </c>
      <c r="BD1" s="12" t="str">
        <f>IF(検体毎項目情報!L2="","",検体毎項目情報!L2)</f>
        <v/>
      </c>
      <c r="BE1" s="12" t="str">
        <f>IF(検体毎項目情報!M2="","",検体毎項目情報!M2)</f>
        <v/>
      </c>
      <c r="BF1" s="12" t="str">
        <f>IF(検体毎項目情報!N2="","",検体毎項目情報!N2)</f>
        <v/>
      </c>
      <c r="BG1" s="12" t="str">
        <f>IF(検体毎項目情報!O2="","",検体毎項目情報!O2)</f>
        <v/>
      </c>
      <c r="BH1" s="12" t="str">
        <f>IF(検体毎項目情報!P2="","",検体毎項目情報!P2)</f>
        <v/>
      </c>
      <c r="BI1" s="12" t="str">
        <f>IF(検体毎項目情報!Q2="","",検体毎項目情報!Q2)</f>
        <v/>
      </c>
      <c r="BJ1" s="12" t="str">
        <f>IF(検体毎項目情報!R2="","",検体毎項目情報!R2)</f>
        <v/>
      </c>
      <c r="BK1" s="12" t="str">
        <f>IF(検体毎項目情報!S2="","",検体毎項目情報!S2)</f>
        <v/>
      </c>
      <c r="BL1" s="12" t="str">
        <f>IF(検体毎項目情報!T2="","",検体毎項目情報!T2)</f>
        <v/>
      </c>
      <c r="BM1" s="12" t="str">
        <f>IF(検体毎項目情報!U2="","",検体毎項目情報!U2)</f>
        <v/>
      </c>
      <c r="BN1" s="12" t="str">
        <f>IF(検体毎項目情報!V2="","",検体毎項目情報!V2)</f>
        <v/>
      </c>
      <c r="BO1" s="12" t="str">
        <f>IF(検体毎項目情報!W2="","",検体毎項目情報!W2)</f>
        <v/>
      </c>
      <c r="BP1" s="12" t="str">
        <f>IF(検体毎項目情報!X2="","",検体毎項目情報!X2)</f>
        <v/>
      </c>
    </row>
    <row r="2" spans="1:68">
      <c r="A2" s="20" t="s">
        <v>81</v>
      </c>
      <c r="B2" s="20" t="s">
        <v>82</v>
      </c>
      <c r="C2" s="20" t="s">
        <v>83</v>
      </c>
      <c r="E2" s="21" t="s">
        <v>81</v>
      </c>
      <c r="F2" s="21" t="s">
        <v>82</v>
      </c>
      <c r="G2" s="21" t="s">
        <v>83</v>
      </c>
      <c r="I2" s="22" t="s">
        <v>81</v>
      </c>
      <c r="J2" s="22" t="s">
        <v>82</v>
      </c>
      <c r="K2" s="22" t="s">
        <v>83</v>
      </c>
      <c r="M2" s="23" t="s">
        <v>81</v>
      </c>
      <c r="N2" s="23" t="s">
        <v>82</v>
      </c>
      <c r="O2" s="23" t="s">
        <v>131</v>
      </c>
      <c r="Q2" s="38" t="s">
        <v>81</v>
      </c>
      <c r="R2" s="38" t="s">
        <v>82</v>
      </c>
      <c r="S2" s="38" t="s">
        <v>83</v>
      </c>
      <c r="U2" s="44" t="s">
        <v>81</v>
      </c>
      <c r="V2" s="21" t="s">
        <v>131</v>
      </c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2" t="str">
        <f>IF(AS2="","",COUNTIF(費用項目一覧!A:A,判定詳細!AU2))</f>
        <v/>
      </c>
      <c r="AS2" s="12" t="str">
        <f>IF(検体毎項目情報!A3="","",検体毎項目情報!A3)</f>
        <v/>
      </c>
      <c r="AT2" s="12" t="str">
        <f>IF(検体毎項目情報!B3="","",検体毎項目情報!B3)</f>
        <v/>
      </c>
      <c r="AU2" s="12" t="str">
        <f>IF(検体毎項目情報!C3="","",検体毎項目情報!C3)</f>
        <v/>
      </c>
      <c r="AV2" s="12" t="str">
        <f>IF(検体毎項目情報!D3="","",検体毎項目情報!D3)</f>
        <v/>
      </c>
      <c r="AW2" s="12" t="str">
        <f>IF(検体毎項目情報!E3="","",検体毎項目情報!E3)</f>
        <v/>
      </c>
      <c r="AX2" s="12" t="str">
        <f>IF(検体毎項目情報!F3="","",検体毎項目情報!F3)</f>
        <v/>
      </c>
      <c r="AY2" s="12" t="str">
        <f>IF(検体毎項目情報!G3="","",検体毎項目情報!G3)</f>
        <v/>
      </c>
      <c r="AZ2" s="12" t="str">
        <f>IF(検体毎項目情報!H3="","",検体毎項目情報!H3)</f>
        <v/>
      </c>
      <c r="BA2" s="12" t="str">
        <f>IF(検体毎項目情報!I3="","",検体毎項目情報!I3)</f>
        <v/>
      </c>
      <c r="BB2" s="12" t="str">
        <f>IF(検体毎項目情報!J3="","",検体毎項目情報!J3)</f>
        <v/>
      </c>
      <c r="BC2" s="12" t="str">
        <f>IF(検体毎項目情報!K3="","",検体毎項目情報!K3)</f>
        <v/>
      </c>
      <c r="BD2" s="12" t="str">
        <f>IF(検体毎項目情報!L3="","",検体毎項目情報!L3)</f>
        <v/>
      </c>
      <c r="BE2" s="12" t="str">
        <f>IF(検体毎項目情報!M3="","",検体毎項目情報!M3)</f>
        <v/>
      </c>
      <c r="BF2" s="12" t="str">
        <f>IF(検体毎項目情報!N3="","",検体毎項目情報!N3)</f>
        <v/>
      </c>
      <c r="BG2" s="12" t="str">
        <f>IF(検体毎項目情報!O3="","",検体毎項目情報!O3)</f>
        <v/>
      </c>
      <c r="BH2" s="12" t="str">
        <f>IF(検体毎項目情報!P3="","",検体毎項目情報!P3)</f>
        <v/>
      </c>
      <c r="BI2" s="12" t="str">
        <f>IF(検体毎項目情報!Q3="","",検体毎項目情報!Q3)</f>
        <v/>
      </c>
      <c r="BJ2" s="12" t="str">
        <f>IF(検体毎項目情報!R3="","",検体毎項目情報!R3)</f>
        <v/>
      </c>
      <c r="BK2" s="12" t="str">
        <f>IF(検体毎項目情報!S3="","",検体毎項目情報!S3)</f>
        <v/>
      </c>
      <c r="BL2" s="12" t="str">
        <f>IF(検体毎項目情報!T3="","",検体毎項目情報!T3)</f>
        <v/>
      </c>
      <c r="BM2" s="12" t="str">
        <f>IF(検体毎項目情報!U3="","",検体毎項目情報!U3)</f>
        <v/>
      </c>
      <c r="BN2" s="12" t="str">
        <f>IF(検体毎項目情報!V3="","",検体毎項目情報!V3)</f>
        <v/>
      </c>
      <c r="BO2" s="12" t="str">
        <f>IF(検体毎項目情報!W3="","",検体毎項目情報!W3)</f>
        <v/>
      </c>
      <c r="BP2" s="12" t="str">
        <f>IF(検体毎項目情報!X3="","",検体毎項目情報!X3)</f>
        <v/>
      </c>
    </row>
    <row r="3" spans="1:68">
      <c r="A3" s="24" t="s">
        <v>84</v>
      </c>
      <c r="B3" s="25">
        <f>SUM(B5:B1048576)</f>
        <v>0</v>
      </c>
      <c r="C3" s="25">
        <f>IF(B3&gt;0,1,0)</f>
        <v>0</v>
      </c>
      <c r="E3" s="26" t="s">
        <v>85</v>
      </c>
      <c r="F3" s="27">
        <f>SUM(F4:F10)</f>
        <v>0</v>
      </c>
      <c r="G3" s="27">
        <f>IF(F3&gt;0,1,0)</f>
        <v>0</v>
      </c>
      <c r="I3" s="28" t="s">
        <v>86</v>
      </c>
      <c r="J3" s="29">
        <f>COUNTIF(検体毎項目情報!I:I, I3 &amp; "*")</f>
        <v>0</v>
      </c>
      <c r="K3" s="29">
        <f>IF(J3&gt;0,1,0)</f>
        <v>0</v>
      </c>
      <c r="M3" s="30" t="s">
        <v>141</v>
      </c>
      <c r="N3" s="31">
        <f>SUM(N4:N6)</f>
        <v>2097152</v>
      </c>
      <c r="O3" s="31" t="b">
        <f>N3=0</f>
        <v>0</v>
      </c>
      <c r="Q3" s="39" t="s">
        <v>122</v>
      </c>
      <c r="R3" s="40">
        <f>COUNTIF(BA:BA,Q3)</f>
        <v>0</v>
      </c>
      <c r="S3" s="40">
        <f>IF(R3&gt;0,1,0)</f>
        <v>0</v>
      </c>
      <c r="U3" s="26" t="s">
        <v>129</v>
      </c>
      <c r="V3" s="27" t="b">
        <f>AND(C3=1,C4=0)</f>
        <v>0</v>
      </c>
      <c r="AR3" s="32" t="str">
        <f>IF(AS3="","",COUNTIF(費用項目一覧!A:A,判定詳細!AU3))</f>
        <v/>
      </c>
      <c r="AS3" s="12" t="str">
        <f>IF(検体毎項目情報!A4="","",検体毎項目情報!A4)</f>
        <v/>
      </c>
      <c r="AT3" s="12" t="str">
        <f>IF(検体毎項目情報!B4="","",検体毎項目情報!B4)</f>
        <v/>
      </c>
      <c r="AU3" s="12" t="str">
        <f>IF(検体毎項目情報!C4="","",検体毎項目情報!C4)</f>
        <v/>
      </c>
      <c r="AV3" s="12" t="str">
        <f>IF(検体毎項目情報!D4="","",検体毎項目情報!D4)</f>
        <v/>
      </c>
      <c r="AW3" s="12" t="str">
        <f>IF(検体毎項目情報!E4="","",検体毎項目情報!E4)</f>
        <v/>
      </c>
      <c r="AX3" s="12" t="str">
        <f>IF(検体毎項目情報!F4="","",検体毎項目情報!F4)</f>
        <v/>
      </c>
      <c r="AY3" s="12" t="str">
        <f>IF(検体毎項目情報!G4="","",検体毎項目情報!G4)</f>
        <v/>
      </c>
      <c r="AZ3" s="12" t="str">
        <f>IF(検体毎項目情報!H4="","",検体毎項目情報!H4)</f>
        <v/>
      </c>
      <c r="BA3" s="12" t="str">
        <f>IF(検体毎項目情報!I4="","",検体毎項目情報!I4)</f>
        <v/>
      </c>
      <c r="BB3" s="12" t="str">
        <f>IF(検体毎項目情報!J4="","",検体毎項目情報!J4)</f>
        <v/>
      </c>
      <c r="BC3" s="12" t="str">
        <f>IF(検体毎項目情報!K4="","",検体毎項目情報!K4)</f>
        <v/>
      </c>
      <c r="BD3" s="12" t="str">
        <f>IF(検体毎項目情報!L4="","",検体毎項目情報!L4)</f>
        <v/>
      </c>
      <c r="BE3" s="12" t="str">
        <f>IF(検体毎項目情報!M4="","",検体毎項目情報!M4)</f>
        <v/>
      </c>
      <c r="BF3" s="12" t="str">
        <f>IF(検体毎項目情報!N4="","",検体毎項目情報!N4)</f>
        <v/>
      </c>
      <c r="BG3" s="12" t="str">
        <f>IF(検体毎項目情報!O4="","",検体毎項目情報!O4)</f>
        <v/>
      </c>
      <c r="BH3" s="12" t="str">
        <f>IF(検体毎項目情報!P4="","",検体毎項目情報!P4)</f>
        <v/>
      </c>
      <c r="BI3" s="12" t="str">
        <f>IF(検体毎項目情報!Q4="","",検体毎項目情報!Q4)</f>
        <v/>
      </c>
      <c r="BJ3" s="12" t="str">
        <f>IF(検体毎項目情報!R4="","",検体毎項目情報!R4)</f>
        <v/>
      </c>
      <c r="BK3" s="12" t="str">
        <f>IF(検体毎項目情報!S4="","",検体毎項目情報!S4)</f>
        <v/>
      </c>
      <c r="BL3" s="12" t="str">
        <f>IF(検体毎項目情報!T4="","",検体毎項目情報!T4)</f>
        <v/>
      </c>
      <c r="BM3" s="12" t="str">
        <f>IF(検体毎項目情報!U4="","",検体毎項目情報!U4)</f>
        <v/>
      </c>
      <c r="BN3" s="12" t="str">
        <f>IF(検体毎項目情報!V4="","",検体毎項目情報!V4)</f>
        <v/>
      </c>
      <c r="BO3" s="12" t="str">
        <f>IF(検体毎項目情報!W4="","",検体毎項目情報!W4)</f>
        <v/>
      </c>
      <c r="BP3" s="12" t="str">
        <f>IF(検体毎項目情報!X4="","",検体毎項目情報!X4)</f>
        <v/>
      </c>
    </row>
    <row r="4" spans="1:68">
      <c r="A4" s="24" t="s">
        <v>87</v>
      </c>
      <c r="B4" s="25">
        <f>COUNTIFS(BA1:INDEX(BA:BA, MATCH(TRUE, INDEX(AS:AS="", 0), 0) - 1), "&lt;&gt;TM4D",
          BA1:INDEX(BA:BA, MATCH(TRUE, INDEX(AS:AS="", 0), 0) - 1), "&lt;&gt;OS4A",
          BA1:INDEX(BA:BA, MATCH(TRUE, INDEX(AS:AS="", 0), 0) - 1), "&lt;&gt;TM4B",
          BA1:INDEX(BA:BA, MATCH(TRUE, INDEX(AS:AS="", 0), 0) - 1), "&lt;&gt;OS5A",
          BA1:INDEX(BA:BA, MATCH(TRUE, INDEX(AS:AS="", 0), 0) - 1), "&lt;&gt;TM2D",
          BA1:INDEX(BA:BA, MATCH(TRUE, INDEX(AS:AS="", 0), 0) - 1), "&lt;&gt;TM3C",
          BA1:INDEX(BA:BA, MATCH(TRUE, INDEX(AS:AS="", 0), 0) - 1), "&lt;&gt;OS3A",
          BA1:INDEX(BA:BA, MATCH(TRUE, INDEX(AS:AS="", 0), 0) - 1), "&lt;&gt;TM2J",
          BA1:INDEX(BA:BA, MATCH(TRUE, INDEX(AS:AS="", 0), 0) - 1), "&lt;&gt;TK5A",
          BA1:INDEX(BA:BA, MATCH(TRUE, INDEX(AS:AS="", 0), 0) - 1), "&lt;&gt;TM4C",
          BA1:INDEX(BA:BA, MATCH(TRUE, INDEX(AS:AS="", 0), 0) - 1), "&lt;&gt;ST5B")
+
COUNTIFS(BA1:INDEX(BA:BA, MATCH(TRUE, INDEX(AS:AS="", 0), 0) - 1), "ST5B",
         AU1:INDEX(AU:AU, MATCH(TRUE, INDEX(AS:AS="", 0), 0) - 1), "&lt;&gt;食物繊維",
         AU1:INDEX(AU:AU, MATCH(TRUE, INDEX(AS:AS="", 0), 0) - 1), "&lt;&gt;ｶﾌｪｲﾝ",
         AU1:INDEX(AU:AU, MATCH(TRUE, INDEX(AS:AS="", 0), 0) - 1), "&lt;&gt;ﾀﾝﾆﾝ",
         AU1:INDEX(AU:AU, MATCH(TRUE, INDEX(AS:AS="", 0), 0) - 1), "&lt;&gt;ﾀﾝﾆﾝ(ﾀﾝﾆﾝ酸として)")</f>
        <v>1048576</v>
      </c>
      <c r="C4" s="25">
        <f t="shared" ref="C4:C15" si="0">IF(B4&gt;0,1,0)</f>
        <v>1</v>
      </c>
      <c r="E4" s="26" t="s">
        <v>88</v>
      </c>
      <c r="F4" s="27">
        <f>COUNTIF(検体毎項目情報!I:I,E4)</f>
        <v>0</v>
      </c>
      <c r="G4" s="27">
        <f>IF(F4&gt;0,1,0)</f>
        <v>0</v>
      </c>
      <c r="I4" s="28" t="s">
        <v>89</v>
      </c>
      <c r="J4" s="29">
        <f>COUNTIF(検体毎項目情報!I:I, I4 &amp; "*")</f>
        <v>0</v>
      </c>
      <c r="K4" s="29">
        <f t="shared" ref="K4:K9" si="1">IF(J4&gt;0,1,0)</f>
        <v>0</v>
      </c>
      <c r="M4" s="30" t="s">
        <v>90</v>
      </c>
      <c r="N4" s="31">
        <f>COUNTIF(AZ1:INDEX(AZ:AZ,MATCH(TRUE,INDEX(AS:AS="",0),0)-1),"")</f>
        <v>1048576</v>
      </c>
      <c r="O4" s="31" t="b">
        <f>N4=0</f>
        <v>0</v>
      </c>
      <c r="Q4" s="39" t="s">
        <v>123</v>
      </c>
      <c r="R4" s="40">
        <f>COUNTIF(BA:BA,Q4)</f>
        <v>0</v>
      </c>
      <c r="S4" s="40">
        <f>IF(R4&gt;0,1,0)</f>
        <v>0</v>
      </c>
      <c r="U4" s="26" t="s">
        <v>134</v>
      </c>
      <c r="V4" s="27" t="e">
        <f>IF(AND(J12=0,J13=1),"支所-",IF(AND(J13=0,J14=1),"TM内-",IF(G3=1,"BK-微生物あり",IF(J13&gt;0,"BK-支所あり","BK-TM内"))))</f>
        <v>#N/A</v>
      </c>
      <c r="AR4" s="32" t="str">
        <f>IF(AS4="","",COUNTIF(費用項目一覧!A:A,判定詳細!AU4))</f>
        <v/>
      </c>
      <c r="AS4" s="12" t="str">
        <f>IF(検体毎項目情報!A5="","",検体毎項目情報!A5)</f>
        <v/>
      </c>
      <c r="AT4" s="12" t="str">
        <f>IF(検体毎項目情報!B5="","",検体毎項目情報!B5)</f>
        <v/>
      </c>
      <c r="AU4" s="12" t="str">
        <f>IF(検体毎項目情報!C5="","",検体毎項目情報!C5)</f>
        <v/>
      </c>
      <c r="AV4" s="12" t="str">
        <f>IF(検体毎項目情報!D5="","",検体毎項目情報!D5)</f>
        <v/>
      </c>
      <c r="AW4" s="12" t="str">
        <f>IF(検体毎項目情報!E5="","",検体毎項目情報!E5)</f>
        <v/>
      </c>
      <c r="AX4" s="12" t="str">
        <f>IF(検体毎項目情報!F5="","",検体毎項目情報!F5)</f>
        <v/>
      </c>
      <c r="AY4" s="12" t="str">
        <f>IF(検体毎項目情報!G5="","",検体毎項目情報!G5)</f>
        <v/>
      </c>
      <c r="AZ4" s="12" t="str">
        <f>IF(検体毎項目情報!H5="","",検体毎項目情報!H5)</f>
        <v/>
      </c>
      <c r="BA4" s="12" t="str">
        <f>IF(検体毎項目情報!I5="","",検体毎項目情報!I5)</f>
        <v/>
      </c>
      <c r="BB4" s="12" t="str">
        <f>IF(検体毎項目情報!J5="","",検体毎項目情報!J5)</f>
        <v/>
      </c>
      <c r="BC4" s="12" t="str">
        <f>IF(検体毎項目情報!K5="","",検体毎項目情報!K5)</f>
        <v/>
      </c>
      <c r="BD4" s="12" t="str">
        <f>IF(検体毎項目情報!L5="","",検体毎項目情報!L5)</f>
        <v/>
      </c>
      <c r="BE4" s="12" t="str">
        <f>IF(検体毎項目情報!M5="","",検体毎項目情報!M5)</f>
        <v/>
      </c>
      <c r="BF4" s="12" t="str">
        <f>IF(検体毎項目情報!N5="","",検体毎項目情報!N5)</f>
        <v/>
      </c>
      <c r="BG4" s="12" t="str">
        <f>IF(検体毎項目情報!O5="","",検体毎項目情報!O5)</f>
        <v/>
      </c>
      <c r="BH4" s="12" t="str">
        <f>IF(検体毎項目情報!P5="","",検体毎項目情報!P5)</f>
        <v/>
      </c>
      <c r="BI4" s="12" t="str">
        <f>IF(検体毎項目情報!Q5="","",検体毎項目情報!Q5)</f>
        <v/>
      </c>
      <c r="BJ4" s="12" t="str">
        <f>IF(検体毎項目情報!R5="","",検体毎項目情報!R5)</f>
        <v/>
      </c>
      <c r="BK4" s="12" t="str">
        <f>IF(検体毎項目情報!S5="","",検体毎項目情報!S5)</f>
        <v/>
      </c>
      <c r="BL4" s="12" t="str">
        <f>IF(検体毎項目情報!T5="","",検体毎項目情報!T5)</f>
        <v/>
      </c>
      <c r="BM4" s="12" t="str">
        <f>IF(検体毎項目情報!U5="","",検体毎項目情報!U5)</f>
        <v/>
      </c>
      <c r="BN4" s="12" t="str">
        <f>IF(検体毎項目情報!V5="","",検体毎項目情報!V5)</f>
        <v/>
      </c>
      <c r="BO4" s="12" t="str">
        <f>IF(検体毎項目情報!W5="","",検体毎項目情報!W5)</f>
        <v/>
      </c>
      <c r="BP4" s="12" t="str">
        <f>IF(検体毎項目情報!X5="","",検体毎項目情報!X5)</f>
        <v/>
      </c>
    </row>
    <row r="5" spans="1:68">
      <c r="A5" s="24" t="s">
        <v>91</v>
      </c>
      <c r="B5" s="25">
        <f t="shared" ref="B5:B14" si="2">COUNTIF(BA:BA,A5)</f>
        <v>0</v>
      </c>
      <c r="C5" s="25">
        <f t="shared" si="0"/>
        <v>0</v>
      </c>
      <c r="E5" s="26" t="s">
        <v>92</v>
      </c>
      <c r="F5" s="27">
        <f>COUNTIF(検体毎項目情報!I:I,E5)</f>
        <v>0</v>
      </c>
      <c r="G5" s="27">
        <f t="shared" ref="G5:G10" si="3">IF(F5&gt;0,1,0)</f>
        <v>0</v>
      </c>
      <c r="I5" s="28" t="s">
        <v>93</v>
      </c>
      <c r="J5" s="29">
        <f>COUNTIF(検体毎項目情報!I:I, I5 &amp; "*")</f>
        <v>0</v>
      </c>
      <c r="K5" s="29">
        <f t="shared" si="1"/>
        <v>0</v>
      </c>
      <c r="M5" s="30" t="s">
        <v>94</v>
      </c>
      <c r="N5" s="31">
        <f>COUNTIF(BA1:INDEX(BA:BA,MATCH(TRUE,INDEX(AS:AS="",0),0)-1),"")</f>
        <v>1048576</v>
      </c>
      <c r="O5" s="31" t="b">
        <f>N5=0</f>
        <v>0</v>
      </c>
      <c r="Q5" s="39" t="s">
        <v>124</v>
      </c>
      <c r="R5" s="40" t="s">
        <v>125</v>
      </c>
      <c r="S5" s="40">
        <f>IF(SUM(S3:S4)=2,1,0)</f>
        <v>0</v>
      </c>
      <c r="U5" s="26" t="s">
        <v>139</v>
      </c>
      <c r="V5" s="27" t="str">
        <f>IF(S6=1,"核種あり/","")</f>
        <v/>
      </c>
      <c r="AR5" s="32" t="str">
        <f>IF(AS5="","",COUNTIF(費用項目一覧!A:A,判定詳細!AU5))</f>
        <v/>
      </c>
      <c r="AS5" s="12" t="str">
        <f>IF(検体毎項目情報!A6="","",検体毎項目情報!A6)</f>
        <v/>
      </c>
      <c r="AT5" s="12" t="str">
        <f>IF(検体毎項目情報!B6="","",検体毎項目情報!B6)</f>
        <v/>
      </c>
      <c r="AU5" s="12" t="str">
        <f>IF(検体毎項目情報!C6="","",検体毎項目情報!C6)</f>
        <v/>
      </c>
      <c r="AV5" s="12" t="str">
        <f>IF(検体毎項目情報!D6="","",検体毎項目情報!D6)</f>
        <v/>
      </c>
      <c r="AW5" s="12" t="str">
        <f>IF(検体毎項目情報!E6="","",検体毎項目情報!E6)</f>
        <v/>
      </c>
      <c r="AX5" s="12" t="str">
        <f>IF(検体毎項目情報!F6="","",検体毎項目情報!F6)</f>
        <v/>
      </c>
      <c r="AY5" s="12" t="str">
        <f>IF(検体毎項目情報!G6="","",検体毎項目情報!G6)</f>
        <v/>
      </c>
      <c r="AZ5" s="12" t="str">
        <f>IF(検体毎項目情報!H6="","",検体毎項目情報!H6)</f>
        <v/>
      </c>
      <c r="BA5" s="12" t="str">
        <f>IF(検体毎項目情報!I6="","",検体毎項目情報!I6)</f>
        <v/>
      </c>
      <c r="BB5" s="12" t="str">
        <f>IF(検体毎項目情報!J6="","",検体毎項目情報!J6)</f>
        <v/>
      </c>
      <c r="BC5" s="12" t="str">
        <f>IF(検体毎項目情報!K6="","",検体毎項目情報!K6)</f>
        <v/>
      </c>
      <c r="BD5" s="12" t="str">
        <f>IF(検体毎項目情報!L6="","",検体毎項目情報!L6)</f>
        <v/>
      </c>
      <c r="BE5" s="12" t="str">
        <f>IF(検体毎項目情報!M6="","",検体毎項目情報!M6)</f>
        <v/>
      </c>
      <c r="BF5" s="12" t="str">
        <f>IF(検体毎項目情報!N6="","",検体毎項目情報!N6)</f>
        <v/>
      </c>
      <c r="BG5" s="12" t="str">
        <f>IF(検体毎項目情報!O6="","",検体毎項目情報!O6)</f>
        <v/>
      </c>
      <c r="BH5" s="12" t="str">
        <f>IF(検体毎項目情報!P6="","",検体毎項目情報!P6)</f>
        <v/>
      </c>
      <c r="BI5" s="12" t="str">
        <f>IF(検体毎項目情報!Q6="","",検体毎項目情報!Q6)</f>
        <v/>
      </c>
      <c r="BJ5" s="12" t="str">
        <f>IF(検体毎項目情報!R6="","",検体毎項目情報!R6)</f>
        <v/>
      </c>
      <c r="BK5" s="12" t="str">
        <f>IF(検体毎項目情報!S6="","",検体毎項目情報!S6)</f>
        <v/>
      </c>
      <c r="BL5" s="12" t="str">
        <f>IF(検体毎項目情報!T6="","",検体毎項目情報!T6)</f>
        <v/>
      </c>
      <c r="BM5" s="12" t="str">
        <f>IF(検体毎項目情報!U6="","",検体毎項目情報!U6)</f>
        <v/>
      </c>
      <c r="BN5" s="12" t="str">
        <f>IF(検体毎項目情報!V6="","",検体毎項目情報!V6)</f>
        <v/>
      </c>
      <c r="BO5" s="12" t="str">
        <f>IF(検体毎項目情報!W6="","",検体毎項目情報!W6)</f>
        <v/>
      </c>
      <c r="BP5" s="12" t="str">
        <f>IF(検体毎項目情報!X6="","",検体毎項目情報!X6)</f>
        <v/>
      </c>
    </row>
    <row r="6" spans="1:68">
      <c r="A6" s="24" t="s">
        <v>95</v>
      </c>
      <c r="B6" s="25">
        <f t="shared" si="2"/>
        <v>0</v>
      </c>
      <c r="C6" s="25">
        <f t="shared" si="0"/>
        <v>0</v>
      </c>
      <c r="E6" s="26" t="s">
        <v>96</v>
      </c>
      <c r="F6" s="27">
        <f>COUNTIF(検体毎項目情報!I:I,E6)</f>
        <v>0</v>
      </c>
      <c r="G6" s="27">
        <f t="shared" si="3"/>
        <v>0</v>
      </c>
      <c r="I6" s="28" t="s">
        <v>97</v>
      </c>
      <c r="J6" s="29">
        <f>COUNTIF(検体毎項目情報!I:I, I6 &amp; "*")</f>
        <v>0</v>
      </c>
      <c r="K6" s="29">
        <f t="shared" si="1"/>
        <v>0</v>
      </c>
      <c r="M6" s="30" t="s">
        <v>98</v>
      </c>
      <c r="N6" s="31">
        <f>COUNTIFS(BD1:INDEX(BD:BD, MATCH(TRUE, INDEX(AS:AS="", 0), 0) - 1), "",
          AR1:INDEX(AR:AR, MATCH(TRUE, INDEX(AS:AS="", 0), 0) - 1), 0)</f>
        <v>0</v>
      </c>
      <c r="O6" s="31" t="b">
        <f>N6=0</f>
        <v>1</v>
      </c>
      <c r="Q6" s="39" t="s">
        <v>126</v>
      </c>
      <c r="R6" s="40">
        <f>COUNTIF(AU:AU,"*核種*")</f>
        <v>0</v>
      </c>
      <c r="S6" s="40">
        <f>IF(R6&gt;0,1,0)</f>
        <v>0</v>
      </c>
      <c r="U6" s="26" t="s">
        <v>143</v>
      </c>
      <c r="V6" s="27" t="str">
        <f>BA1</f>
        <v/>
      </c>
      <c r="AR6" s="32" t="str">
        <f>IF(AS6="","",COUNTIF(費用項目一覧!A:A,判定詳細!AU6))</f>
        <v/>
      </c>
      <c r="AS6" s="12" t="str">
        <f>IF(検体毎項目情報!A7="","",検体毎項目情報!A7)</f>
        <v/>
      </c>
      <c r="AT6" s="12" t="str">
        <f>IF(検体毎項目情報!B7="","",検体毎項目情報!B7)</f>
        <v/>
      </c>
      <c r="AU6" s="12" t="str">
        <f>IF(検体毎項目情報!C7="","",検体毎項目情報!C7)</f>
        <v/>
      </c>
      <c r="AV6" s="12" t="str">
        <f>IF(検体毎項目情報!D7="","",検体毎項目情報!D7)</f>
        <v/>
      </c>
      <c r="AW6" s="12" t="str">
        <f>IF(検体毎項目情報!E7="","",検体毎項目情報!E7)</f>
        <v/>
      </c>
      <c r="AX6" s="12" t="str">
        <f>IF(検体毎項目情報!F7="","",検体毎項目情報!F7)</f>
        <v/>
      </c>
      <c r="AY6" s="12" t="str">
        <f>IF(検体毎項目情報!G7="","",検体毎項目情報!G7)</f>
        <v/>
      </c>
      <c r="AZ6" s="12" t="str">
        <f>IF(検体毎項目情報!H7="","",検体毎項目情報!H7)</f>
        <v/>
      </c>
      <c r="BA6" s="12" t="str">
        <f>IF(検体毎項目情報!I7="","",検体毎項目情報!I7)</f>
        <v/>
      </c>
      <c r="BB6" s="12" t="str">
        <f>IF(検体毎項目情報!J7="","",検体毎項目情報!J7)</f>
        <v/>
      </c>
      <c r="BC6" s="12" t="str">
        <f>IF(検体毎項目情報!K7="","",検体毎項目情報!K7)</f>
        <v/>
      </c>
      <c r="BD6" s="12" t="str">
        <f>IF(検体毎項目情報!L7="","",検体毎項目情報!L7)</f>
        <v/>
      </c>
      <c r="BE6" s="12" t="str">
        <f>IF(検体毎項目情報!M7="","",検体毎項目情報!M7)</f>
        <v/>
      </c>
      <c r="BF6" s="12" t="str">
        <f>IF(検体毎項目情報!N7="","",検体毎項目情報!N7)</f>
        <v/>
      </c>
      <c r="BG6" s="12" t="str">
        <f>IF(検体毎項目情報!O7="","",検体毎項目情報!O7)</f>
        <v/>
      </c>
      <c r="BH6" s="12" t="str">
        <f>IF(検体毎項目情報!P7="","",検体毎項目情報!P7)</f>
        <v/>
      </c>
      <c r="BI6" s="12" t="str">
        <f>IF(検体毎項目情報!Q7="","",検体毎項目情報!Q7)</f>
        <v/>
      </c>
      <c r="BJ6" s="12" t="str">
        <f>IF(検体毎項目情報!R7="","",検体毎項目情報!R7)</f>
        <v/>
      </c>
      <c r="BK6" s="12" t="str">
        <f>IF(検体毎項目情報!S7="","",検体毎項目情報!S7)</f>
        <v/>
      </c>
      <c r="BL6" s="12" t="str">
        <f>IF(検体毎項目情報!T7="","",検体毎項目情報!T7)</f>
        <v/>
      </c>
      <c r="BM6" s="12" t="str">
        <f>IF(検体毎項目情報!U7="","",検体毎項目情報!U7)</f>
        <v/>
      </c>
      <c r="BN6" s="12" t="str">
        <f>IF(検体毎項目情報!V7="","",検体毎項目情報!V7)</f>
        <v/>
      </c>
      <c r="BO6" s="12" t="str">
        <f>IF(検体毎項目情報!W7="","",検体毎項目情報!W7)</f>
        <v/>
      </c>
      <c r="BP6" s="12" t="str">
        <f>IF(検体毎項目情報!X7="","",検体毎項目情報!X7)</f>
        <v/>
      </c>
    </row>
    <row r="7" spans="1:68">
      <c r="A7" s="24" t="s">
        <v>99</v>
      </c>
      <c r="B7" s="25">
        <f t="shared" si="2"/>
        <v>0</v>
      </c>
      <c r="C7" s="25">
        <f t="shared" si="0"/>
        <v>0</v>
      </c>
      <c r="E7" s="26" t="s">
        <v>100</v>
      </c>
      <c r="F7" s="27">
        <f>COUNTIF(検体毎項目情報!I:I,E7)</f>
        <v>0</v>
      </c>
      <c r="G7" s="27">
        <f t="shared" si="3"/>
        <v>0</v>
      </c>
      <c r="I7" s="28" t="s">
        <v>101</v>
      </c>
      <c r="J7" s="29">
        <f>COUNTIF(検体毎項目情報!I:I, I7 &amp; "*")</f>
        <v>0</v>
      </c>
      <c r="K7" s="29">
        <f t="shared" si="1"/>
        <v>0</v>
      </c>
      <c r="Q7" s="39" t="s">
        <v>127</v>
      </c>
      <c r="R7" s="40">
        <f>COUNTIF(AU:AU,"一粒の重さ")</f>
        <v>0</v>
      </c>
      <c r="S7" s="40">
        <f>IF(R7&gt;0,1,0)</f>
        <v>0</v>
      </c>
      <c r="U7" s="26" t="s">
        <v>140</v>
      </c>
      <c r="V7" s="27" t="e">
        <f>IF(OR(V4="TM内-",V4="支所-"),V5&amp;V4&amp;V6,V5&amp;V4)</f>
        <v>#N/A</v>
      </c>
      <c r="AR7" s="32" t="str">
        <f>IF(AS7="","",COUNTIF(費用項目一覧!A:A,判定詳細!AU7))</f>
        <v/>
      </c>
      <c r="AS7" s="12" t="str">
        <f>IF(検体毎項目情報!A8="","",検体毎項目情報!A8)</f>
        <v/>
      </c>
      <c r="AT7" s="12" t="str">
        <f>IF(検体毎項目情報!B8="","",検体毎項目情報!B8)</f>
        <v/>
      </c>
      <c r="AU7" s="12" t="str">
        <f>IF(検体毎項目情報!C8="","",検体毎項目情報!C8)</f>
        <v/>
      </c>
      <c r="AV7" s="12" t="str">
        <f>IF(検体毎項目情報!D8="","",検体毎項目情報!D8)</f>
        <v/>
      </c>
      <c r="AW7" s="12" t="str">
        <f>IF(検体毎項目情報!E8="","",検体毎項目情報!E8)</f>
        <v/>
      </c>
      <c r="AX7" s="12" t="str">
        <f>IF(検体毎項目情報!F8="","",検体毎項目情報!F8)</f>
        <v/>
      </c>
      <c r="AY7" s="12" t="str">
        <f>IF(検体毎項目情報!G8="","",検体毎項目情報!G8)</f>
        <v/>
      </c>
      <c r="AZ7" s="12" t="str">
        <f>IF(検体毎項目情報!H8="","",検体毎項目情報!H8)</f>
        <v/>
      </c>
      <c r="BA7" s="12" t="str">
        <f>IF(検体毎項目情報!I8="","",検体毎項目情報!I8)</f>
        <v/>
      </c>
      <c r="BB7" s="12" t="str">
        <f>IF(検体毎項目情報!J8="","",検体毎項目情報!J8)</f>
        <v/>
      </c>
      <c r="BC7" s="12" t="str">
        <f>IF(検体毎項目情報!K8="","",検体毎項目情報!K8)</f>
        <v/>
      </c>
      <c r="BD7" s="12" t="str">
        <f>IF(検体毎項目情報!L8="","",検体毎項目情報!L8)</f>
        <v/>
      </c>
      <c r="BE7" s="12" t="str">
        <f>IF(検体毎項目情報!M8="","",検体毎項目情報!M8)</f>
        <v/>
      </c>
      <c r="BF7" s="12" t="str">
        <f>IF(検体毎項目情報!N8="","",検体毎項目情報!N8)</f>
        <v/>
      </c>
      <c r="BG7" s="12" t="str">
        <f>IF(検体毎項目情報!O8="","",検体毎項目情報!O8)</f>
        <v/>
      </c>
      <c r="BH7" s="12" t="str">
        <f>IF(検体毎項目情報!P8="","",検体毎項目情報!P8)</f>
        <v/>
      </c>
      <c r="BI7" s="12" t="str">
        <f>IF(検体毎項目情報!Q8="","",検体毎項目情報!Q8)</f>
        <v/>
      </c>
      <c r="BJ7" s="12" t="str">
        <f>IF(検体毎項目情報!R8="","",検体毎項目情報!R8)</f>
        <v/>
      </c>
      <c r="BK7" s="12" t="str">
        <f>IF(検体毎項目情報!S8="","",検体毎項目情報!S8)</f>
        <v/>
      </c>
      <c r="BL7" s="12" t="str">
        <f>IF(検体毎項目情報!T8="","",検体毎項目情報!T8)</f>
        <v/>
      </c>
      <c r="BM7" s="12" t="str">
        <f>IF(検体毎項目情報!U8="","",検体毎項目情報!U8)</f>
        <v/>
      </c>
      <c r="BN7" s="12" t="str">
        <f>IF(検体毎項目情報!V8="","",検体毎項目情報!V8)</f>
        <v/>
      </c>
      <c r="BO7" s="12" t="str">
        <f>IF(検体毎項目情報!W8="","",検体毎項目情報!W8)</f>
        <v/>
      </c>
      <c r="BP7" s="12" t="str">
        <f>IF(検体毎項目情報!X8="","",検体毎項目情報!X8)</f>
        <v/>
      </c>
    </row>
    <row r="8" spans="1:68">
      <c r="A8" s="24" t="s">
        <v>102</v>
      </c>
      <c r="B8" s="25">
        <f t="shared" si="2"/>
        <v>0</v>
      </c>
      <c r="C8" s="25">
        <f t="shared" si="0"/>
        <v>0</v>
      </c>
      <c r="E8" s="26" t="s">
        <v>103</v>
      </c>
      <c r="F8" s="27">
        <f>COUNTIF(検体毎項目情報!I:I,E8)</f>
        <v>0</v>
      </c>
      <c r="G8" s="27">
        <f t="shared" si="3"/>
        <v>0</v>
      </c>
      <c r="I8" s="28" t="s">
        <v>104</v>
      </c>
      <c r="J8" s="29">
        <f>COUNTIF(検体毎項目情報!I:I, I8 &amp; "*")</f>
        <v>0</v>
      </c>
      <c r="K8" s="29">
        <f t="shared" si="1"/>
        <v>0</v>
      </c>
      <c r="Q8" s="39" t="s">
        <v>142</v>
      </c>
      <c r="R8" s="40">
        <f>COUNTIF(BA:BA,Q8)</f>
        <v>0</v>
      </c>
      <c r="S8" s="40">
        <f>IF(R8&gt;0,1,0)</f>
        <v>0</v>
      </c>
      <c r="AR8" s="32" t="str">
        <f>IF(AS8="","",COUNTIF(費用項目一覧!A:A,判定詳細!AU8))</f>
        <v/>
      </c>
      <c r="AS8" s="12" t="str">
        <f>IF(検体毎項目情報!A9="","",検体毎項目情報!A9)</f>
        <v/>
      </c>
      <c r="AT8" s="12" t="str">
        <f>IF(検体毎項目情報!B9="","",検体毎項目情報!B9)</f>
        <v/>
      </c>
      <c r="AU8" s="12" t="str">
        <f>IF(検体毎項目情報!C9="","",検体毎項目情報!C9)</f>
        <v/>
      </c>
      <c r="AV8" s="12" t="str">
        <f>IF(検体毎項目情報!D9="","",検体毎項目情報!D9)</f>
        <v/>
      </c>
      <c r="AW8" s="12" t="str">
        <f>IF(検体毎項目情報!E9="","",検体毎項目情報!E9)</f>
        <v/>
      </c>
      <c r="AX8" s="12" t="str">
        <f>IF(検体毎項目情報!F9="","",検体毎項目情報!F9)</f>
        <v/>
      </c>
      <c r="AY8" s="12" t="str">
        <f>IF(検体毎項目情報!G9="","",検体毎項目情報!G9)</f>
        <v/>
      </c>
      <c r="AZ8" s="12" t="str">
        <f>IF(検体毎項目情報!H9="","",検体毎項目情報!H9)</f>
        <v/>
      </c>
      <c r="BA8" s="12" t="str">
        <f>IF(検体毎項目情報!I9="","",検体毎項目情報!I9)</f>
        <v/>
      </c>
      <c r="BB8" s="12" t="str">
        <f>IF(検体毎項目情報!J9="","",検体毎項目情報!J9)</f>
        <v/>
      </c>
      <c r="BC8" s="12" t="str">
        <f>IF(検体毎項目情報!K9="","",検体毎項目情報!K9)</f>
        <v/>
      </c>
      <c r="BD8" s="12" t="str">
        <f>IF(検体毎項目情報!L9="","",検体毎項目情報!L9)</f>
        <v/>
      </c>
      <c r="BE8" s="12" t="str">
        <f>IF(検体毎項目情報!M9="","",検体毎項目情報!M9)</f>
        <v/>
      </c>
      <c r="BF8" s="12" t="str">
        <f>IF(検体毎項目情報!N9="","",検体毎項目情報!N9)</f>
        <v/>
      </c>
      <c r="BG8" s="12" t="str">
        <f>IF(検体毎項目情報!O9="","",検体毎項目情報!O9)</f>
        <v/>
      </c>
      <c r="BH8" s="12" t="str">
        <f>IF(検体毎項目情報!P9="","",検体毎項目情報!P9)</f>
        <v/>
      </c>
      <c r="BI8" s="12" t="str">
        <f>IF(検体毎項目情報!Q9="","",検体毎項目情報!Q9)</f>
        <v/>
      </c>
      <c r="BJ8" s="12" t="str">
        <f>IF(検体毎項目情報!R9="","",検体毎項目情報!R9)</f>
        <v/>
      </c>
      <c r="BK8" s="12" t="str">
        <f>IF(検体毎項目情報!S9="","",検体毎項目情報!S9)</f>
        <v/>
      </c>
      <c r="BL8" s="12" t="str">
        <f>IF(検体毎項目情報!T9="","",検体毎項目情報!T9)</f>
        <v/>
      </c>
      <c r="BM8" s="12" t="str">
        <f>IF(検体毎項目情報!U9="","",検体毎項目情報!U9)</f>
        <v/>
      </c>
      <c r="BN8" s="12" t="str">
        <f>IF(検体毎項目情報!V9="","",検体毎項目情報!V9)</f>
        <v/>
      </c>
      <c r="BO8" s="12" t="str">
        <f>IF(検体毎項目情報!W9="","",検体毎項目情報!W9)</f>
        <v/>
      </c>
      <c r="BP8" s="12" t="str">
        <f>IF(検体毎項目情報!X9="","",検体毎項目情報!X9)</f>
        <v/>
      </c>
    </row>
    <row r="9" spans="1:68">
      <c r="A9" s="24" t="s">
        <v>105</v>
      </c>
      <c r="B9" s="25">
        <f t="shared" si="2"/>
        <v>0</v>
      </c>
      <c r="C9" s="25">
        <f t="shared" si="0"/>
        <v>0</v>
      </c>
      <c r="E9" s="26" t="s">
        <v>106</v>
      </c>
      <c r="F9" s="27">
        <f>COUNTIF(検体毎項目情報!I:I,E9)</f>
        <v>0</v>
      </c>
      <c r="G9" s="27">
        <f t="shared" si="3"/>
        <v>0</v>
      </c>
      <c r="I9" s="28" t="s">
        <v>107</v>
      </c>
      <c r="J9" s="29">
        <f>COUNTIF(検体毎項目情報!I:I, I9 &amp; "*")</f>
        <v>0</v>
      </c>
      <c r="K9" s="29">
        <f t="shared" si="1"/>
        <v>0</v>
      </c>
      <c r="AR9" s="32" t="str">
        <f>IF(AS9="","",COUNTIF(費用項目一覧!A:A,判定詳細!AU9))</f>
        <v/>
      </c>
      <c r="AS9" s="12" t="str">
        <f>IF(検体毎項目情報!A10="","",検体毎項目情報!A10)</f>
        <v/>
      </c>
      <c r="AT9" s="12" t="str">
        <f>IF(検体毎項目情報!B10="","",検体毎項目情報!B10)</f>
        <v/>
      </c>
      <c r="AU9" s="12" t="str">
        <f>IF(検体毎項目情報!C10="","",検体毎項目情報!C10)</f>
        <v/>
      </c>
      <c r="AV9" s="12" t="str">
        <f>IF(検体毎項目情報!D10="","",検体毎項目情報!D10)</f>
        <v/>
      </c>
      <c r="AW9" s="12" t="str">
        <f>IF(検体毎項目情報!E10="","",検体毎項目情報!E10)</f>
        <v/>
      </c>
      <c r="AX9" s="12" t="str">
        <f>IF(検体毎項目情報!F10="","",検体毎項目情報!F10)</f>
        <v/>
      </c>
      <c r="AY9" s="12" t="str">
        <f>IF(検体毎項目情報!G10="","",検体毎項目情報!G10)</f>
        <v/>
      </c>
      <c r="AZ9" s="12" t="str">
        <f>IF(検体毎項目情報!H10="","",検体毎項目情報!H10)</f>
        <v/>
      </c>
      <c r="BA9" s="12" t="str">
        <f>IF(検体毎項目情報!I10="","",検体毎項目情報!I10)</f>
        <v/>
      </c>
      <c r="BB9" s="12" t="str">
        <f>IF(検体毎項目情報!J10="","",検体毎項目情報!J10)</f>
        <v/>
      </c>
      <c r="BC9" s="12" t="str">
        <f>IF(検体毎項目情報!K10="","",検体毎項目情報!K10)</f>
        <v/>
      </c>
      <c r="BD9" s="12" t="str">
        <f>IF(検体毎項目情報!L10="","",検体毎項目情報!L10)</f>
        <v/>
      </c>
      <c r="BE9" s="12" t="str">
        <f>IF(検体毎項目情報!M10="","",検体毎項目情報!M10)</f>
        <v/>
      </c>
      <c r="BF9" s="12" t="str">
        <f>IF(検体毎項目情報!N10="","",検体毎項目情報!N10)</f>
        <v/>
      </c>
      <c r="BG9" s="12" t="str">
        <f>IF(検体毎項目情報!O10="","",検体毎項目情報!O10)</f>
        <v/>
      </c>
      <c r="BH9" s="12" t="str">
        <f>IF(検体毎項目情報!P10="","",検体毎項目情報!P10)</f>
        <v/>
      </c>
      <c r="BI9" s="12" t="str">
        <f>IF(検体毎項目情報!Q10="","",検体毎項目情報!Q10)</f>
        <v/>
      </c>
      <c r="BJ9" s="12" t="str">
        <f>IF(検体毎項目情報!R10="","",検体毎項目情報!R10)</f>
        <v/>
      </c>
      <c r="BK9" s="12" t="str">
        <f>IF(検体毎項目情報!S10="","",検体毎項目情報!S10)</f>
        <v/>
      </c>
      <c r="BL9" s="12" t="str">
        <f>IF(検体毎項目情報!T10="","",検体毎項目情報!T10)</f>
        <v/>
      </c>
      <c r="BM9" s="12" t="str">
        <f>IF(検体毎項目情報!U10="","",検体毎項目情報!U10)</f>
        <v/>
      </c>
      <c r="BN9" s="12" t="str">
        <f>IF(検体毎項目情報!V10="","",検体毎項目情報!V10)</f>
        <v/>
      </c>
      <c r="BO9" s="12" t="str">
        <f>IF(検体毎項目情報!W10="","",検体毎項目情報!W10)</f>
        <v/>
      </c>
      <c r="BP9" s="12" t="str">
        <f>IF(検体毎項目情報!X10="","",検体毎項目情報!X10)</f>
        <v/>
      </c>
    </row>
    <row r="10" spans="1:68">
      <c r="A10" s="24" t="s">
        <v>108</v>
      </c>
      <c r="B10" s="25">
        <f t="shared" si="2"/>
        <v>0</v>
      </c>
      <c r="C10" s="25">
        <f t="shared" si="0"/>
        <v>0</v>
      </c>
      <c r="E10" s="26" t="s">
        <v>109</v>
      </c>
      <c r="F10" s="27">
        <f>COUNTIF(検体毎項目情報!I:I,E10)</f>
        <v>0</v>
      </c>
      <c r="G10" s="27">
        <f t="shared" si="3"/>
        <v>0</v>
      </c>
      <c r="I10" s="16"/>
      <c r="J10" s="16"/>
      <c r="K10" s="16"/>
      <c r="AR10" s="32" t="str">
        <f>IF(AS10="","",COUNTIF(費用項目一覧!A:A,判定詳細!AU10))</f>
        <v/>
      </c>
      <c r="AS10" s="12" t="str">
        <f>IF(検体毎項目情報!A11="","",検体毎項目情報!A11)</f>
        <v/>
      </c>
      <c r="AT10" s="12" t="str">
        <f>IF(検体毎項目情報!B11="","",検体毎項目情報!B11)</f>
        <v/>
      </c>
      <c r="AU10" s="12" t="str">
        <f>IF(検体毎項目情報!C11="","",検体毎項目情報!C11)</f>
        <v/>
      </c>
      <c r="AV10" s="12" t="str">
        <f>IF(検体毎項目情報!D11="","",検体毎項目情報!D11)</f>
        <v/>
      </c>
      <c r="AW10" s="12" t="str">
        <f>IF(検体毎項目情報!E11="","",検体毎項目情報!E11)</f>
        <v/>
      </c>
      <c r="AX10" s="12" t="str">
        <f>IF(検体毎項目情報!F11="","",検体毎項目情報!F11)</f>
        <v/>
      </c>
      <c r="AY10" s="12" t="str">
        <f>IF(検体毎項目情報!G11="","",検体毎項目情報!G11)</f>
        <v/>
      </c>
      <c r="AZ10" s="12" t="str">
        <f>IF(検体毎項目情報!H11="","",検体毎項目情報!H11)</f>
        <v/>
      </c>
      <c r="BA10" s="12" t="str">
        <f>IF(検体毎項目情報!I11="","",検体毎項目情報!I11)</f>
        <v/>
      </c>
      <c r="BB10" s="12" t="str">
        <f>IF(検体毎項目情報!J11="","",検体毎項目情報!J11)</f>
        <v/>
      </c>
      <c r="BC10" s="12" t="str">
        <f>IF(検体毎項目情報!K11="","",検体毎項目情報!K11)</f>
        <v/>
      </c>
      <c r="BD10" s="12" t="str">
        <f>IF(検体毎項目情報!L11="","",検体毎項目情報!L11)</f>
        <v/>
      </c>
      <c r="BE10" s="12" t="str">
        <f>IF(検体毎項目情報!M11="","",検体毎項目情報!M11)</f>
        <v/>
      </c>
      <c r="BF10" s="12" t="str">
        <f>IF(検体毎項目情報!N11="","",検体毎項目情報!N11)</f>
        <v/>
      </c>
      <c r="BG10" s="12" t="str">
        <f>IF(検体毎項目情報!O11="","",検体毎項目情報!O11)</f>
        <v/>
      </c>
      <c r="BH10" s="12" t="str">
        <f>IF(検体毎項目情報!P11="","",検体毎項目情報!P11)</f>
        <v/>
      </c>
      <c r="BI10" s="12" t="str">
        <f>IF(検体毎項目情報!Q11="","",検体毎項目情報!Q11)</f>
        <v/>
      </c>
      <c r="BJ10" s="12" t="str">
        <f>IF(検体毎項目情報!R11="","",検体毎項目情報!R11)</f>
        <v/>
      </c>
      <c r="BK10" s="12" t="str">
        <f>IF(検体毎項目情報!S11="","",検体毎項目情報!S11)</f>
        <v/>
      </c>
      <c r="BL10" s="12" t="str">
        <f>IF(検体毎項目情報!T11="","",検体毎項目情報!T11)</f>
        <v/>
      </c>
      <c r="BM10" s="12" t="str">
        <f>IF(検体毎項目情報!U11="","",検体毎項目情報!U11)</f>
        <v/>
      </c>
      <c r="BN10" s="12" t="str">
        <f>IF(検体毎項目情報!V11="","",検体毎項目情報!V11)</f>
        <v/>
      </c>
      <c r="BO10" s="12" t="str">
        <f>IF(検体毎項目情報!W11="","",検体毎項目情報!W11)</f>
        <v/>
      </c>
      <c r="BP10" s="12" t="str">
        <f>IF(検体毎項目情報!X11="","",検体毎項目情報!X11)</f>
        <v/>
      </c>
    </row>
    <row r="11" spans="1:68">
      <c r="A11" s="24" t="s">
        <v>110</v>
      </c>
      <c r="B11" s="25">
        <f t="shared" si="2"/>
        <v>0</v>
      </c>
      <c r="C11" s="25">
        <f t="shared" si="0"/>
        <v>0</v>
      </c>
      <c r="I11" s="33" t="s">
        <v>137</v>
      </c>
      <c r="J11" s="29">
        <f>SUM(K3:K9)</f>
        <v>0</v>
      </c>
      <c r="K11" s="16"/>
      <c r="AR11" s="32" t="str">
        <f>IF(AS11="","",COUNTIF(費用項目一覧!A:A,判定詳細!AU11))</f>
        <v/>
      </c>
      <c r="AS11" s="12" t="str">
        <f>IF(検体毎項目情報!A12="","",検体毎項目情報!A12)</f>
        <v/>
      </c>
      <c r="AT11" s="12" t="str">
        <f>IF(検体毎項目情報!B12="","",検体毎項目情報!B12)</f>
        <v/>
      </c>
      <c r="AU11" s="12" t="str">
        <f>IF(検体毎項目情報!C12="","",検体毎項目情報!C12)</f>
        <v/>
      </c>
      <c r="AV11" s="12" t="str">
        <f>IF(検体毎項目情報!D12="","",検体毎項目情報!D12)</f>
        <v/>
      </c>
      <c r="AW11" s="12" t="str">
        <f>IF(検体毎項目情報!E12="","",検体毎項目情報!E12)</f>
        <v/>
      </c>
      <c r="AX11" s="12" t="str">
        <f>IF(検体毎項目情報!F12="","",検体毎項目情報!F12)</f>
        <v/>
      </c>
      <c r="AY11" s="12" t="str">
        <f>IF(検体毎項目情報!G12="","",検体毎項目情報!G12)</f>
        <v/>
      </c>
      <c r="AZ11" s="12" t="str">
        <f>IF(検体毎項目情報!H12="","",検体毎項目情報!H12)</f>
        <v/>
      </c>
      <c r="BA11" s="12" t="str">
        <f>IF(検体毎項目情報!I12="","",検体毎項目情報!I12)</f>
        <v/>
      </c>
      <c r="BB11" s="12" t="str">
        <f>IF(検体毎項目情報!J12="","",検体毎項目情報!J12)</f>
        <v/>
      </c>
      <c r="BC11" s="12" t="str">
        <f>IF(検体毎項目情報!K12="","",検体毎項目情報!K12)</f>
        <v/>
      </c>
      <c r="BD11" s="12" t="str">
        <f>IF(検体毎項目情報!L12="","",検体毎項目情報!L12)</f>
        <v/>
      </c>
      <c r="BE11" s="12" t="str">
        <f>IF(検体毎項目情報!M12="","",検体毎項目情報!M12)</f>
        <v/>
      </c>
      <c r="BF11" s="12" t="str">
        <f>IF(検体毎項目情報!N12="","",検体毎項目情報!N12)</f>
        <v/>
      </c>
      <c r="BG11" s="12" t="str">
        <f>IF(検体毎項目情報!O12="","",検体毎項目情報!O12)</f>
        <v/>
      </c>
      <c r="BH11" s="12" t="str">
        <f>IF(検体毎項目情報!P12="","",検体毎項目情報!P12)</f>
        <v/>
      </c>
      <c r="BI11" s="12" t="str">
        <f>IF(検体毎項目情報!Q12="","",検体毎項目情報!Q12)</f>
        <v/>
      </c>
      <c r="BJ11" s="12" t="str">
        <f>IF(検体毎項目情報!R12="","",検体毎項目情報!R12)</f>
        <v/>
      </c>
      <c r="BK11" s="12" t="str">
        <f>IF(検体毎項目情報!S12="","",検体毎項目情報!S12)</f>
        <v/>
      </c>
      <c r="BL11" s="12" t="str">
        <f>IF(検体毎項目情報!T12="","",検体毎項目情報!T12)</f>
        <v/>
      </c>
      <c r="BM11" s="12" t="str">
        <f>IF(検体毎項目情報!U12="","",検体毎項目情報!U12)</f>
        <v/>
      </c>
      <c r="BN11" s="12" t="str">
        <f>IF(検体毎項目情報!V12="","",検体毎項目情報!V12)</f>
        <v/>
      </c>
      <c r="BO11" s="12" t="str">
        <f>IF(検体毎項目情報!W12="","",検体毎項目情報!W12)</f>
        <v/>
      </c>
      <c r="BP11" s="12" t="str">
        <f>IF(検体毎項目情報!X12="","",検体毎項目情報!X12)</f>
        <v/>
      </c>
    </row>
    <row r="12" spans="1:68">
      <c r="A12" s="24" t="s">
        <v>111</v>
      </c>
      <c r="B12" s="25">
        <f t="shared" si="2"/>
        <v>0</v>
      </c>
      <c r="C12" s="25">
        <f t="shared" si="0"/>
        <v>0</v>
      </c>
      <c r="I12" s="33" t="s">
        <v>136</v>
      </c>
      <c r="J12" s="29">
        <f>SUM(K3:K4)</f>
        <v>0</v>
      </c>
      <c r="K12" s="16"/>
      <c r="AR12" s="32" t="str">
        <f>IF(AS12="","",COUNTIF(費用項目一覧!A:A,判定詳細!AU12))</f>
        <v/>
      </c>
      <c r="AS12" s="12" t="str">
        <f>IF(検体毎項目情報!A13="","",検体毎項目情報!A13)</f>
        <v/>
      </c>
      <c r="AT12" s="12" t="str">
        <f>IF(検体毎項目情報!B13="","",検体毎項目情報!B13)</f>
        <v/>
      </c>
      <c r="AU12" s="12" t="str">
        <f>IF(検体毎項目情報!C13="","",検体毎項目情報!C13)</f>
        <v/>
      </c>
      <c r="AV12" s="12" t="str">
        <f>IF(検体毎項目情報!D13="","",検体毎項目情報!D13)</f>
        <v/>
      </c>
      <c r="AW12" s="12" t="str">
        <f>IF(検体毎項目情報!E13="","",検体毎項目情報!E13)</f>
        <v/>
      </c>
      <c r="AX12" s="12" t="str">
        <f>IF(検体毎項目情報!F13="","",検体毎項目情報!F13)</f>
        <v/>
      </c>
      <c r="AY12" s="12" t="str">
        <f>IF(検体毎項目情報!G13="","",検体毎項目情報!G13)</f>
        <v/>
      </c>
      <c r="AZ12" s="12" t="str">
        <f>IF(検体毎項目情報!H13="","",検体毎項目情報!H13)</f>
        <v/>
      </c>
      <c r="BA12" s="12" t="str">
        <f>IF(検体毎項目情報!I13="","",検体毎項目情報!I13)</f>
        <v/>
      </c>
      <c r="BB12" s="12" t="str">
        <f>IF(検体毎項目情報!J13="","",検体毎項目情報!J13)</f>
        <v/>
      </c>
      <c r="BC12" s="12" t="str">
        <f>IF(検体毎項目情報!K13="","",検体毎項目情報!K13)</f>
        <v/>
      </c>
      <c r="BD12" s="12" t="str">
        <f>IF(検体毎項目情報!L13="","",検体毎項目情報!L13)</f>
        <v/>
      </c>
      <c r="BE12" s="12" t="str">
        <f>IF(検体毎項目情報!M13="","",検体毎項目情報!M13)</f>
        <v/>
      </c>
      <c r="BF12" s="12" t="str">
        <f>IF(検体毎項目情報!N13="","",検体毎項目情報!N13)</f>
        <v/>
      </c>
      <c r="BG12" s="12" t="str">
        <f>IF(検体毎項目情報!O13="","",検体毎項目情報!O13)</f>
        <v/>
      </c>
      <c r="BH12" s="12" t="str">
        <f>IF(検体毎項目情報!P13="","",検体毎項目情報!P13)</f>
        <v/>
      </c>
      <c r="BI12" s="12" t="str">
        <f>IF(検体毎項目情報!Q13="","",検体毎項目情報!Q13)</f>
        <v/>
      </c>
      <c r="BJ12" s="12" t="str">
        <f>IF(検体毎項目情報!R13="","",検体毎項目情報!R13)</f>
        <v/>
      </c>
      <c r="BK12" s="12" t="str">
        <f>IF(検体毎項目情報!S13="","",検体毎項目情報!S13)</f>
        <v/>
      </c>
      <c r="BL12" s="12" t="str">
        <f>IF(検体毎項目情報!T13="","",検体毎項目情報!T13)</f>
        <v/>
      </c>
      <c r="BM12" s="12" t="str">
        <f>IF(検体毎項目情報!U13="","",検体毎項目情報!U13)</f>
        <v/>
      </c>
      <c r="BN12" s="12" t="str">
        <f>IF(検体毎項目情報!V13="","",検体毎項目情報!V13)</f>
        <v/>
      </c>
      <c r="BO12" s="12" t="str">
        <f>IF(検体毎項目情報!W13="","",検体毎項目情報!W13)</f>
        <v/>
      </c>
      <c r="BP12" s="12" t="str">
        <f>IF(検体毎項目情報!X13="","",検体毎項目情報!X13)</f>
        <v/>
      </c>
    </row>
    <row r="13" spans="1:68">
      <c r="A13" s="24" t="s">
        <v>112</v>
      </c>
      <c r="B13" s="25">
        <f t="shared" si="2"/>
        <v>0</v>
      </c>
      <c r="C13" s="25">
        <f t="shared" si="0"/>
        <v>0</v>
      </c>
      <c r="I13" s="33" t="s">
        <v>135</v>
      </c>
      <c r="J13" s="29">
        <f>SUM(K5:K9)</f>
        <v>0</v>
      </c>
      <c r="K13" s="16"/>
      <c r="AR13" s="32" t="str">
        <f>IF(AS13="","",COUNTIF(費用項目一覧!A:A,判定詳細!AU13))</f>
        <v/>
      </c>
      <c r="AS13" s="12" t="str">
        <f>IF(検体毎項目情報!A14="","",検体毎項目情報!A14)</f>
        <v/>
      </c>
      <c r="AT13" s="12" t="str">
        <f>IF(検体毎項目情報!B14="","",検体毎項目情報!B14)</f>
        <v/>
      </c>
      <c r="AU13" s="12" t="str">
        <f>IF(検体毎項目情報!C14="","",検体毎項目情報!C14)</f>
        <v/>
      </c>
      <c r="AV13" s="12" t="str">
        <f>IF(検体毎項目情報!D14="","",検体毎項目情報!D14)</f>
        <v/>
      </c>
      <c r="AW13" s="12" t="str">
        <f>IF(検体毎項目情報!E14="","",検体毎項目情報!E14)</f>
        <v/>
      </c>
      <c r="AX13" s="12" t="str">
        <f>IF(検体毎項目情報!F14="","",検体毎項目情報!F14)</f>
        <v/>
      </c>
      <c r="AY13" s="12" t="str">
        <f>IF(検体毎項目情報!G14="","",検体毎項目情報!G14)</f>
        <v/>
      </c>
      <c r="AZ13" s="12" t="str">
        <f>IF(検体毎項目情報!H14="","",検体毎項目情報!H14)</f>
        <v/>
      </c>
      <c r="BA13" s="12" t="str">
        <f>IF(検体毎項目情報!I14="","",検体毎項目情報!I14)</f>
        <v/>
      </c>
      <c r="BB13" s="12" t="str">
        <f>IF(検体毎項目情報!J14="","",検体毎項目情報!J14)</f>
        <v/>
      </c>
      <c r="BC13" s="12" t="str">
        <f>IF(検体毎項目情報!K14="","",検体毎項目情報!K14)</f>
        <v/>
      </c>
      <c r="BD13" s="12" t="str">
        <f>IF(検体毎項目情報!L14="","",検体毎項目情報!L14)</f>
        <v/>
      </c>
      <c r="BE13" s="12" t="str">
        <f>IF(検体毎項目情報!M14="","",検体毎項目情報!M14)</f>
        <v/>
      </c>
      <c r="BF13" s="12" t="str">
        <f>IF(検体毎項目情報!N14="","",検体毎項目情報!N14)</f>
        <v/>
      </c>
      <c r="BG13" s="12" t="str">
        <f>IF(検体毎項目情報!O14="","",検体毎項目情報!O14)</f>
        <v/>
      </c>
      <c r="BH13" s="12" t="str">
        <f>IF(検体毎項目情報!P14="","",検体毎項目情報!P14)</f>
        <v/>
      </c>
      <c r="BI13" s="12" t="str">
        <f>IF(検体毎項目情報!Q14="","",検体毎項目情報!Q14)</f>
        <v/>
      </c>
      <c r="BJ13" s="12" t="str">
        <f>IF(検体毎項目情報!R14="","",検体毎項目情報!R14)</f>
        <v/>
      </c>
      <c r="BK13" s="12" t="str">
        <f>IF(検体毎項目情報!S14="","",検体毎項目情報!S14)</f>
        <v/>
      </c>
      <c r="BL13" s="12" t="str">
        <f>IF(検体毎項目情報!T14="","",検体毎項目情報!T14)</f>
        <v/>
      </c>
      <c r="BM13" s="12" t="str">
        <f>IF(検体毎項目情報!U14="","",検体毎項目情報!U14)</f>
        <v/>
      </c>
      <c r="BN13" s="12" t="str">
        <f>IF(検体毎項目情報!V14="","",検体毎項目情報!V14)</f>
        <v/>
      </c>
      <c r="BO13" s="12" t="str">
        <f>IF(検体毎項目情報!W14="","",検体毎項目情報!W14)</f>
        <v/>
      </c>
      <c r="BP13" s="12" t="str">
        <f>IF(検体毎項目情報!X14="","",検体毎項目情報!X14)</f>
        <v/>
      </c>
    </row>
    <row r="14" spans="1:68">
      <c r="A14" s="24" t="s">
        <v>113</v>
      </c>
      <c r="B14" s="25">
        <f t="shared" si="2"/>
        <v>0</v>
      </c>
      <c r="C14" s="25">
        <f t="shared" si="0"/>
        <v>0</v>
      </c>
      <c r="I14" s="33" t="s">
        <v>138</v>
      </c>
      <c r="J14" s="29" t="e">
        <f>SUM(IF(FREQUENCY(MATCH(BA3:INDEX(BA:BA, MATCH(TRUE, INDEX(AS:AS="", 0), 0) - 1), BA3:INDEX(BA:BA, MATCH(TRUE, INDEX(AS:AS="", 0), 0) - 1), 0), MATCH(BA3:INDEX(BA:BA, MATCH(TRUE, INDEX(AS:AS="", 0), 0) - 1), BA3:INDEX(BA:BA, MATCH(TRUE, INDEX(AS:AS="", 0), 0) - 1), 0)) &gt; 0, 1))-S8</f>
        <v>#N/A</v>
      </c>
      <c r="K14" s="16"/>
      <c r="AR14" s="32" t="str">
        <f>IF(AS14="","",COUNTIF(費用項目一覧!A:A,判定詳細!AU14))</f>
        <v/>
      </c>
      <c r="AS14" s="12" t="str">
        <f>IF(検体毎項目情報!A15="","",検体毎項目情報!A15)</f>
        <v/>
      </c>
      <c r="AT14" s="12" t="str">
        <f>IF(検体毎項目情報!B15="","",検体毎項目情報!B15)</f>
        <v/>
      </c>
      <c r="AU14" s="12" t="str">
        <f>IF(検体毎項目情報!C15="","",検体毎項目情報!C15)</f>
        <v/>
      </c>
      <c r="AV14" s="12" t="str">
        <f>IF(検体毎項目情報!D15="","",検体毎項目情報!D15)</f>
        <v/>
      </c>
      <c r="AW14" s="12" t="str">
        <f>IF(検体毎項目情報!E15="","",検体毎項目情報!E15)</f>
        <v/>
      </c>
      <c r="AX14" s="12" t="str">
        <f>IF(検体毎項目情報!F15="","",検体毎項目情報!F15)</f>
        <v/>
      </c>
      <c r="AY14" s="12" t="str">
        <f>IF(検体毎項目情報!G15="","",検体毎項目情報!G15)</f>
        <v/>
      </c>
      <c r="AZ14" s="12" t="str">
        <f>IF(検体毎項目情報!H15="","",検体毎項目情報!H15)</f>
        <v/>
      </c>
      <c r="BA14" s="12" t="str">
        <f>IF(検体毎項目情報!I15="","",検体毎項目情報!I15)</f>
        <v/>
      </c>
      <c r="BB14" s="12" t="str">
        <f>IF(検体毎項目情報!J15="","",検体毎項目情報!J15)</f>
        <v/>
      </c>
      <c r="BC14" s="12" t="str">
        <f>IF(検体毎項目情報!K15="","",検体毎項目情報!K15)</f>
        <v/>
      </c>
      <c r="BD14" s="12" t="str">
        <f>IF(検体毎項目情報!L15="","",検体毎項目情報!L15)</f>
        <v/>
      </c>
      <c r="BE14" s="12" t="str">
        <f>IF(検体毎項目情報!M15="","",検体毎項目情報!M15)</f>
        <v/>
      </c>
      <c r="BF14" s="12" t="str">
        <f>IF(検体毎項目情報!N15="","",検体毎項目情報!N15)</f>
        <v/>
      </c>
      <c r="BG14" s="12" t="str">
        <f>IF(検体毎項目情報!O15="","",検体毎項目情報!O15)</f>
        <v/>
      </c>
      <c r="BH14" s="12" t="str">
        <f>IF(検体毎項目情報!P15="","",検体毎項目情報!P15)</f>
        <v/>
      </c>
      <c r="BI14" s="12" t="str">
        <f>IF(検体毎項目情報!Q15="","",検体毎項目情報!Q15)</f>
        <v/>
      </c>
      <c r="BJ14" s="12" t="str">
        <f>IF(検体毎項目情報!R15="","",検体毎項目情報!R15)</f>
        <v/>
      </c>
      <c r="BK14" s="12" t="str">
        <f>IF(検体毎項目情報!S15="","",検体毎項目情報!S15)</f>
        <v/>
      </c>
      <c r="BL14" s="12" t="str">
        <f>IF(検体毎項目情報!T15="","",検体毎項目情報!T15)</f>
        <v/>
      </c>
      <c r="BM14" s="12" t="str">
        <f>IF(検体毎項目情報!U15="","",検体毎項目情報!U15)</f>
        <v/>
      </c>
      <c r="BN14" s="12" t="str">
        <f>IF(検体毎項目情報!V15="","",検体毎項目情報!V15)</f>
        <v/>
      </c>
      <c r="BO14" s="12" t="str">
        <f>IF(検体毎項目情報!W15="","",検体毎項目情報!W15)</f>
        <v/>
      </c>
      <c r="BP14" s="12" t="str">
        <f>IF(検体毎項目情報!X15="","",検体毎項目情報!X15)</f>
        <v/>
      </c>
    </row>
    <row r="15" spans="1:68">
      <c r="A15" s="24" t="s">
        <v>114</v>
      </c>
      <c r="B15" s="25">
        <f>COUNTIF(AU:AU,"食物繊維")+COUNTIF(AU:AU,"ｶﾌｪｲﾝ")+COUNTIF(AU:AU,"ﾀﾝﾆﾝ")+COUNTIF(AU:AU,"ﾀﾝﾆﾝ(ﾀﾝﾆﾝ酸として)")</f>
        <v>0</v>
      </c>
      <c r="C15" s="25">
        <f t="shared" si="0"/>
        <v>0</v>
      </c>
      <c r="AR15" s="32" t="str">
        <f>IF(AS15="","",COUNTIF(費用項目一覧!A:A,判定詳細!AU15))</f>
        <v/>
      </c>
      <c r="AS15" s="12" t="str">
        <f>IF(検体毎項目情報!A16="","",検体毎項目情報!A16)</f>
        <v/>
      </c>
      <c r="AT15" s="12" t="str">
        <f>IF(検体毎項目情報!B16="","",検体毎項目情報!B16)</f>
        <v/>
      </c>
      <c r="AU15" s="12" t="str">
        <f>IF(検体毎項目情報!C16="","",検体毎項目情報!C16)</f>
        <v/>
      </c>
      <c r="AV15" s="12" t="str">
        <f>IF(検体毎項目情報!D16="","",検体毎項目情報!D16)</f>
        <v/>
      </c>
      <c r="AW15" s="12" t="str">
        <f>IF(検体毎項目情報!E16="","",検体毎項目情報!E16)</f>
        <v/>
      </c>
      <c r="AX15" s="12" t="str">
        <f>IF(検体毎項目情報!F16="","",検体毎項目情報!F16)</f>
        <v/>
      </c>
      <c r="AY15" s="12" t="str">
        <f>IF(検体毎項目情報!G16="","",検体毎項目情報!G16)</f>
        <v/>
      </c>
      <c r="AZ15" s="12" t="str">
        <f>IF(検体毎項目情報!H16="","",検体毎項目情報!H16)</f>
        <v/>
      </c>
      <c r="BA15" s="12" t="str">
        <f>IF(検体毎項目情報!I16="","",検体毎項目情報!I16)</f>
        <v/>
      </c>
      <c r="BB15" s="12" t="str">
        <f>IF(検体毎項目情報!J16="","",検体毎項目情報!J16)</f>
        <v/>
      </c>
      <c r="BC15" s="12" t="str">
        <f>IF(検体毎項目情報!K16="","",検体毎項目情報!K16)</f>
        <v/>
      </c>
      <c r="BD15" s="12" t="str">
        <f>IF(検体毎項目情報!L16="","",検体毎項目情報!L16)</f>
        <v/>
      </c>
      <c r="BE15" s="12" t="str">
        <f>IF(検体毎項目情報!M16="","",検体毎項目情報!M16)</f>
        <v/>
      </c>
      <c r="BF15" s="12" t="str">
        <f>IF(検体毎項目情報!N16="","",検体毎項目情報!N16)</f>
        <v/>
      </c>
      <c r="BG15" s="12" t="str">
        <f>IF(検体毎項目情報!O16="","",検体毎項目情報!O16)</f>
        <v/>
      </c>
      <c r="BH15" s="12" t="str">
        <f>IF(検体毎項目情報!P16="","",検体毎項目情報!P16)</f>
        <v/>
      </c>
      <c r="BI15" s="12" t="str">
        <f>IF(検体毎項目情報!Q16="","",検体毎項目情報!Q16)</f>
        <v/>
      </c>
      <c r="BJ15" s="12" t="str">
        <f>IF(検体毎項目情報!R16="","",検体毎項目情報!R16)</f>
        <v/>
      </c>
      <c r="BK15" s="12" t="str">
        <f>IF(検体毎項目情報!S16="","",検体毎項目情報!S16)</f>
        <v/>
      </c>
      <c r="BL15" s="12" t="str">
        <f>IF(検体毎項目情報!T16="","",検体毎項目情報!T16)</f>
        <v/>
      </c>
      <c r="BM15" s="12" t="str">
        <f>IF(検体毎項目情報!U16="","",検体毎項目情報!U16)</f>
        <v/>
      </c>
      <c r="BN15" s="12" t="str">
        <f>IF(検体毎項目情報!V16="","",検体毎項目情報!V16)</f>
        <v/>
      </c>
      <c r="BO15" s="12" t="str">
        <f>IF(検体毎項目情報!W16="","",検体毎項目情報!W16)</f>
        <v/>
      </c>
      <c r="BP15" s="12" t="str">
        <f>IF(検体毎項目情報!X16="","",検体毎項目情報!X16)</f>
        <v/>
      </c>
    </row>
    <row r="16" spans="1:68">
      <c r="AR16" s="32" t="str">
        <f>IF(AS16="","",COUNTIF(費用項目一覧!A:A,判定詳細!AU16))</f>
        <v/>
      </c>
      <c r="AS16" s="12" t="str">
        <f>IF(検体毎項目情報!A17="","",検体毎項目情報!A17)</f>
        <v/>
      </c>
      <c r="AT16" s="12" t="str">
        <f>IF(検体毎項目情報!B17="","",検体毎項目情報!B17)</f>
        <v/>
      </c>
      <c r="AU16" s="12" t="str">
        <f>IF(検体毎項目情報!C17="","",検体毎項目情報!C17)</f>
        <v/>
      </c>
      <c r="AV16" s="12" t="str">
        <f>IF(検体毎項目情報!D17="","",検体毎項目情報!D17)</f>
        <v/>
      </c>
      <c r="AW16" s="12" t="str">
        <f>IF(検体毎項目情報!E17="","",検体毎項目情報!E17)</f>
        <v/>
      </c>
      <c r="AX16" s="12" t="str">
        <f>IF(検体毎項目情報!F17="","",検体毎項目情報!F17)</f>
        <v/>
      </c>
      <c r="AY16" s="12" t="str">
        <f>IF(検体毎項目情報!G17="","",検体毎項目情報!G17)</f>
        <v/>
      </c>
      <c r="AZ16" s="12" t="str">
        <f>IF(検体毎項目情報!H17="","",検体毎項目情報!H17)</f>
        <v/>
      </c>
      <c r="BA16" s="12" t="str">
        <f>IF(検体毎項目情報!I17="","",検体毎項目情報!I17)</f>
        <v/>
      </c>
      <c r="BB16" s="12" t="str">
        <f>IF(検体毎項目情報!J17="","",検体毎項目情報!J17)</f>
        <v/>
      </c>
      <c r="BC16" s="12" t="str">
        <f>IF(検体毎項目情報!K17="","",検体毎項目情報!K17)</f>
        <v/>
      </c>
      <c r="BD16" s="12" t="str">
        <f>IF(検体毎項目情報!L17="","",検体毎項目情報!L17)</f>
        <v/>
      </c>
      <c r="BE16" s="12" t="str">
        <f>IF(検体毎項目情報!M17="","",検体毎項目情報!M17)</f>
        <v/>
      </c>
      <c r="BF16" s="12" t="str">
        <f>IF(検体毎項目情報!N17="","",検体毎項目情報!N17)</f>
        <v/>
      </c>
      <c r="BG16" s="12" t="str">
        <f>IF(検体毎項目情報!O17="","",検体毎項目情報!O17)</f>
        <v/>
      </c>
      <c r="BH16" s="12" t="str">
        <f>IF(検体毎項目情報!P17="","",検体毎項目情報!P17)</f>
        <v/>
      </c>
      <c r="BI16" s="12" t="str">
        <f>IF(検体毎項目情報!Q17="","",検体毎項目情報!Q17)</f>
        <v/>
      </c>
      <c r="BJ16" s="12" t="str">
        <f>IF(検体毎項目情報!R17="","",検体毎項目情報!R17)</f>
        <v/>
      </c>
      <c r="BK16" s="12" t="str">
        <f>IF(検体毎項目情報!S17="","",検体毎項目情報!S17)</f>
        <v/>
      </c>
      <c r="BL16" s="12" t="str">
        <f>IF(検体毎項目情報!T17="","",検体毎項目情報!T17)</f>
        <v/>
      </c>
      <c r="BM16" s="12" t="str">
        <f>IF(検体毎項目情報!U17="","",検体毎項目情報!U17)</f>
        <v/>
      </c>
      <c r="BN16" s="12" t="str">
        <f>IF(検体毎項目情報!V17="","",検体毎項目情報!V17)</f>
        <v/>
      </c>
      <c r="BO16" s="12" t="str">
        <f>IF(検体毎項目情報!W17="","",検体毎項目情報!W17)</f>
        <v/>
      </c>
      <c r="BP16" s="12" t="str">
        <f>IF(検体毎項目情報!X17="","",検体毎項目情報!X17)</f>
        <v/>
      </c>
    </row>
    <row r="17" spans="1:68">
      <c r="AR17" s="32" t="str">
        <f>IF(AS17="","",COUNTIF(費用項目一覧!A:A,判定詳細!AU17))</f>
        <v/>
      </c>
      <c r="AS17" s="12" t="str">
        <f>IF(検体毎項目情報!A18="","",検体毎項目情報!A18)</f>
        <v/>
      </c>
      <c r="AT17" s="12" t="str">
        <f>IF(検体毎項目情報!B18="","",検体毎項目情報!B18)</f>
        <v/>
      </c>
      <c r="AU17" s="12" t="str">
        <f>IF(検体毎項目情報!C18="","",検体毎項目情報!C18)</f>
        <v/>
      </c>
      <c r="AV17" s="12" t="str">
        <f>IF(検体毎項目情報!D18="","",検体毎項目情報!D18)</f>
        <v/>
      </c>
      <c r="AW17" s="12" t="str">
        <f>IF(検体毎項目情報!E18="","",検体毎項目情報!E18)</f>
        <v/>
      </c>
      <c r="AX17" s="12" t="str">
        <f>IF(検体毎項目情報!F18="","",検体毎項目情報!F18)</f>
        <v/>
      </c>
      <c r="AY17" s="12" t="str">
        <f>IF(検体毎項目情報!G18="","",検体毎項目情報!G18)</f>
        <v/>
      </c>
      <c r="AZ17" s="12" t="str">
        <f>IF(検体毎項目情報!H18="","",検体毎項目情報!H18)</f>
        <v/>
      </c>
      <c r="BA17" s="12" t="str">
        <f>IF(検体毎項目情報!I18="","",検体毎項目情報!I18)</f>
        <v/>
      </c>
      <c r="BB17" s="12" t="str">
        <f>IF(検体毎項目情報!J18="","",検体毎項目情報!J18)</f>
        <v/>
      </c>
      <c r="BC17" s="12" t="str">
        <f>IF(検体毎項目情報!K18="","",検体毎項目情報!K18)</f>
        <v/>
      </c>
      <c r="BD17" s="12" t="str">
        <f>IF(検体毎項目情報!L18="","",検体毎項目情報!L18)</f>
        <v/>
      </c>
      <c r="BE17" s="12" t="str">
        <f>IF(検体毎項目情報!M18="","",検体毎項目情報!M18)</f>
        <v/>
      </c>
      <c r="BF17" s="12" t="str">
        <f>IF(検体毎項目情報!N18="","",検体毎項目情報!N18)</f>
        <v/>
      </c>
      <c r="BG17" s="12" t="str">
        <f>IF(検体毎項目情報!O18="","",検体毎項目情報!O18)</f>
        <v/>
      </c>
      <c r="BH17" s="12" t="str">
        <f>IF(検体毎項目情報!P18="","",検体毎項目情報!P18)</f>
        <v/>
      </c>
      <c r="BI17" s="12" t="str">
        <f>IF(検体毎項目情報!Q18="","",検体毎項目情報!Q18)</f>
        <v/>
      </c>
      <c r="BJ17" s="12" t="str">
        <f>IF(検体毎項目情報!R18="","",検体毎項目情報!R18)</f>
        <v/>
      </c>
      <c r="BK17" s="12" t="str">
        <f>IF(検体毎項目情報!S18="","",検体毎項目情報!S18)</f>
        <v/>
      </c>
      <c r="BL17" s="12" t="str">
        <f>IF(検体毎項目情報!T18="","",検体毎項目情報!T18)</f>
        <v/>
      </c>
      <c r="BM17" s="12" t="str">
        <f>IF(検体毎項目情報!U18="","",検体毎項目情報!U18)</f>
        <v/>
      </c>
      <c r="BN17" s="12" t="str">
        <f>IF(検体毎項目情報!V18="","",検体毎項目情報!V18)</f>
        <v/>
      </c>
      <c r="BO17" s="12" t="str">
        <f>IF(検体毎項目情報!W18="","",検体毎項目情報!W18)</f>
        <v/>
      </c>
      <c r="BP17" s="12" t="str">
        <f>IF(検体毎項目情報!X18="","",検体毎項目情報!X18)</f>
        <v/>
      </c>
    </row>
    <row r="18" spans="1:68">
      <c r="AR18" s="32" t="str">
        <f>IF(AS18="","",COUNTIF(費用項目一覧!A:A,判定詳細!AU18))</f>
        <v/>
      </c>
      <c r="AS18" s="12" t="str">
        <f>IF(検体毎項目情報!A19="","",検体毎項目情報!A19)</f>
        <v/>
      </c>
      <c r="AT18" s="12" t="str">
        <f>IF(検体毎項目情報!B19="","",検体毎項目情報!B19)</f>
        <v/>
      </c>
      <c r="AU18" s="12" t="str">
        <f>IF(検体毎項目情報!C19="","",検体毎項目情報!C19)</f>
        <v/>
      </c>
      <c r="AV18" s="12" t="str">
        <f>IF(検体毎項目情報!D19="","",検体毎項目情報!D19)</f>
        <v/>
      </c>
      <c r="AW18" s="12" t="str">
        <f>IF(検体毎項目情報!E19="","",検体毎項目情報!E19)</f>
        <v/>
      </c>
      <c r="AX18" s="12" t="str">
        <f>IF(検体毎項目情報!F19="","",検体毎項目情報!F19)</f>
        <v/>
      </c>
      <c r="AY18" s="12" t="str">
        <f>IF(検体毎項目情報!G19="","",検体毎項目情報!G19)</f>
        <v/>
      </c>
      <c r="AZ18" s="12" t="str">
        <f>IF(検体毎項目情報!H19="","",検体毎項目情報!H19)</f>
        <v/>
      </c>
      <c r="BA18" s="12" t="str">
        <f>IF(検体毎項目情報!I19="","",検体毎項目情報!I19)</f>
        <v/>
      </c>
      <c r="BB18" s="12" t="str">
        <f>IF(検体毎項目情報!J19="","",検体毎項目情報!J19)</f>
        <v/>
      </c>
      <c r="BC18" s="12" t="str">
        <f>IF(検体毎項目情報!K19="","",検体毎項目情報!K19)</f>
        <v/>
      </c>
      <c r="BD18" s="12" t="str">
        <f>IF(検体毎項目情報!L19="","",検体毎項目情報!L19)</f>
        <v/>
      </c>
      <c r="BE18" s="12" t="str">
        <f>IF(検体毎項目情報!M19="","",検体毎項目情報!M19)</f>
        <v/>
      </c>
      <c r="BF18" s="12" t="str">
        <f>IF(検体毎項目情報!N19="","",検体毎項目情報!N19)</f>
        <v/>
      </c>
      <c r="BG18" s="12" t="str">
        <f>IF(検体毎項目情報!O19="","",検体毎項目情報!O19)</f>
        <v/>
      </c>
      <c r="BH18" s="12" t="str">
        <f>IF(検体毎項目情報!P19="","",検体毎項目情報!P19)</f>
        <v/>
      </c>
      <c r="BI18" s="12" t="str">
        <f>IF(検体毎項目情報!Q19="","",検体毎項目情報!Q19)</f>
        <v/>
      </c>
      <c r="BJ18" s="12" t="str">
        <f>IF(検体毎項目情報!R19="","",検体毎項目情報!R19)</f>
        <v/>
      </c>
      <c r="BK18" s="12" t="str">
        <f>IF(検体毎項目情報!S19="","",検体毎項目情報!S19)</f>
        <v/>
      </c>
      <c r="BL18" s="12" t="str">
        <f>IF(検体毎項目情報!T19="","",検体毎項目情報!T19)</f>
        <v/>
      </c>
      <c r="BM18" s="12" t="str">
        <f>IF(検体毎項目情報!U19="","",検体毎項目情報!U19)</f>
        <v/>
      </c>
      <c r="BN18" s="12" t="str">
        <f>IF(検体毎項目情報!V19="","",検体毎項目情報!V19)</f>
        <v/>
      </c>
      <c r="BO18" s="12" t="str">
        <f>IF(検体毎項目情報!W19="","",検体毎項目情報!W19)</f>
        <v/>
      </c>
      <c r="BP18" s="12" t="str">
        <f>IF(検体毎項目情報!X19="","",検体毎項目情報!X19)</f>
        <v/>
      </c>
    </row>
    <row r="19" spans="1:68">
      <c r="A19" s="12" t="s">
        <v>115</v>
      </c>
      <c r="AR19" s="32" t="str">
        <f>IF(AS19="","",COUNTIF(費用項目一覧!A:A,判定詳細!AU19))</f>
        <v/>
      </c>
      <c r="AS19" s="12" t="str">
        <f>IF(検体毎項目情報!A20="","",検体毎項目情報!A20)</f>
        <v/>
      </c>
      <c r="AT19" s="12" t="str">
        <f>IF(検体毎項目情報!B20="","",検体毎項目情報!B20)</f>
        <v/>
      </c>
      <c r="AU19" s="12" t="str">
        <f>IF(検体毎項目情報!C20="","",検体毎項目情報!C20)</f>
        <v/>
      </c>
      <c r="AV19" s="12" t="str">
        <f>IF(検体毎項目情報!D20="","",検体毎項目情報!D20)</f>
        <v/>
      </c>
      <c r="AW19" s="12" t="str">
        <f>IF(検体毎項目情報!E20="","",検体毎項目情報!E20)</f>
        <v/>
      </c>
      <c r="AX19" s="12" t="str">
        <f>IF(検体毎項目情報!F20="","",検体毎項目情報!F20)</f>
        <v/>
      </c>
      <c r="AY19" s="12" t="str">
        <f>IF(検体毎項目情報!G20="","",検体毎項目情報!G20)</f>
        <v/>
      </c>
      <c r="AZ19" s="12" t="str">
        <f>IF(検体毎項目情報!H20="","",検体毎項目情報!H20)</f>
        <v/>
      </c>
      <c r="BA19" s="12" t="str">
        <f>IF(検体毎項目情報!I20="","",検体毎項目情報!I20)</f>
        <v/>
      </c>
      <c r="BB19" s="12" t="str">
        <f>IF(検体毎項目情報!J20="","",検体毎項目情報!J20)</f>
        <v/>
      </c>
      <c r="BC19" s="12" t="str">
        <f>IF(検体毎項目情報!K20="","",検体毎項目情報!K20)</f>
        <v/>
      </c>
      <c r="BD19" s="12" t="str">
        <f>IF(検体毎項目情報!L20="","",検体毎項目情報!L20)</f>
        <v/>
      </c>
      <c r="BE19" s="12" t="str">
        <f>IF(検体毎項目情報!M20="","",検体毎項目情報!M20)</f>
        <v/>
      </c>
      <c r="BF19" s="12" t="str">
        <f>IF(検体毎項目情報!N20="","",検体毎項目情報!N20)</f>
        <v/>
      </c>
      <c r="BG19" s="12" t="str">
        <f>IF(検体毎項目情報!O20="","",検体毎項目情報!O20)</f>
        <v/>
      </c>
      <c r="BH19" s="12" t="str">
        <f>IF(検体毎項目情報!P20="","",検体毎項目情報!P20)</f>
        <v/>
      </c>
      <c r="BI19" s="12" t="str">
        <f>IF(検体毎項目情報!Q20="","",検体毎項目情報!Q20)</f>
        <v/>
      </c>
      <c r="BJ19" s="12" t="str">
        <f>IF(検体毎項目情報!R20="","",検体毎項目情報!R20)</f>
        <v/>
      </c>
      <c r="BK19" s="12" t="str">
        <f>IF(検体毎項目情報!S20="","",検体毎項目情報!S20)</f>
        <v/>
      </c>
      <c r="BL19" s="12" t="str">
        <f>IF(検体毎項目情報!T20="","",検体毎項目情報!T20)</f>
        <v/>
      </c>
      <c r="BM19" s="12" t="str">
        <f>IF(検体毎項目情報!U20="","",検体毎項目情報!U20)</f>
        <v/>
      </c>
      <c r="BN19" s="12" t="str">
        <f>IF(検体毎項目情報!V20="","",検体毎項目情報!V20)</f>
        <v/>
      </c>
      <c r="BO19" s="12" t="str">
        <f>IF(検体毎項目情報!W20="","",検体毎項目情報!W20)</f>
        <v/>
      </c>
      <c r="BP19" s="12" t="str">
        <f>IF(検体毎項目情報!X20="","",検体毎項目情報!X20)</f>
        <v/>
      </c>
    </row>
    <row r="20" spans="1:68">
      <c r="A20" s="12" t="s">
        <v>116</v>
      </c>
      <c r="AR20" s="32" t="str">
        <f>IF(AS20="","",COUNTIF(費用項目一覧!A:A,判定詳細!AU20))</f>
        <v/>
      </c>
      <c r="AS20" s="12" t="str">
        <f>IF(検体毎項目情報!A21="","",検体毎項目情報!A21)</f>
        <v/>
      </c>
      <c r="AT20" s="12" t="str">
        <f>IF(検体毎項目情報!B21="","",検体毎項目情報!B21)</f>
        <v/>
      </c>
      <c r="AU20" s="12" t="str">
        <f>IF(検体毎項目情報!C21="","",検体毎項目情報!C21)</f>
        <v/>
      </c>
      <c r="AV20" s="12" t="str">
        <f>IF(検体毎項目情報!D21="","",検体毎項目情報!D21)</f>
        <v/>
      </c>
      <c r="AW20" s="12" t="str">
        <f>IF(検体毎項目情報!E21="","",検体毎項目情報!E21)</f>
        <v/>
      </c>
      <c r="AX20" s="12" t="str">
        <f>IF(検体毎項目情報!F21="","",検体毎項目情報!F21)</f>
        <v/>
      </c>
      <c r="AY20" s="12" t="str">
        <f>IF(検体毎項目情報!G21="","",検体毎項目情報!G21)</f>
        <v/>
      </c>
      <c r="AZ20" s="12" t="str">
        <f>IF(検体毎項目情報!H21="","",検体毎項目情報!H21)</f>
        <v/>
      </c>
      <c r="BA20" s="12" t="str">
        <f>IF(検体毎項目情報!I21="","",検体毎項目情報!I21)</f>
        <v/>
      </c>
      <c r="BB20" s="12" t="str">
        <f>IF(検体毎項目情報!J21="","",検体毎項目情報!J21)</f>
        <v/>
      </c>
      <c r="BC20" s="12" t="str">
        <f>IF(検体毎項目情報!K21="","",検体毎項目情報!K21)</f>
        <v/>
      </c>
      <c r="BD20" s="12" t="str">
        <f>IF(検体毎項目情報!L21="","",検体毎項目情報!L21)</f>
        <v/>
      </c>
      <c r="BE20" s="12" t="str">
        <f>IF(検体毎項目情報!M21="","",検体毎項目情報!M21)</f>
        <v/>
      </c>
      <c r="BF20" s="12" t="str">
        <f>IF(検体毎項目情報!N21="","",検体毎項目情報!N21)</f>
        <v/>
      </c>
      <c r="BG20" s="12" t="str">
        <f>IF(検体毎項目情報!O21="","",検体毎項目情報!O21)</f>
        <v/>
      </c>
      <c r="BH20" s="12" t="str">
        <f>IF(検体毎項目情報!P21="","",検体毎項目情報!P21)</f>
        <v/>
      </c>
      <c r="BI20" s="12" t="str">
        <f>IF(検体毎項目情報!Q21="","",検体毎項目情報!Q21)</f>
        <v/>
      </c>
      <c r="BJ20" s="12" t="str">
        <f>IF(検体毎項目情報!R21="","",検体毎項目情報!R21)</f>
        <v/>
      </c>
      <c r="BK20" s="12" t="str">
        <f>IF(検体毎項目情報!S21="","",検体毎項目情報!S21)</f>
        <v/>
      </c>
      <c r="BL20" s="12" t="str">
        <f>IF(検体毎項目情報!T21="","",検体毎項目情報!T21)</f>
        <v/>
      </c>
      <c r="BM20" s="12" t="str">
        <f>IF(検体毎項目情報!U21="","",検体毎項目情報!U21)</f>
        <v/>
      </c>
      <c r="BN20" s="12" t="str">
        <f>IF(検体毎項目情報!V21="","",検体毎項目情報!V21)</f>
        <v/>
      </c>
      <c r="BO20" s="12" t="str">
        <f>IF(検体毎項目情報!W21="","",検体毎項目情報!W21)</f>
        <v/>
      </c>
      <c r="BP20" s="12" t="str">
        <f>IF(検体毎項目情報!X21="","",検体毎項目情報!X21)</f>
        <v/>
      </c>
    </row>
    <row r="21" spans="1:68">
      <c r="A21" s="12" t="s">
        <v>117</v>
      </c>
      <c r="AR21" s="32" t="str">
        <f>IF(AS21="","",COUNTIF(費用項目一覧!A:A,判定詳細!AU21))</f>
        <v/>
      </c>
      <c r="AS21" s="12" t="str">
        <f>IF(検体毎項目情報!A22="","",検体毎項目情報!A22)</f>
        <v/>
      </c>
      <c r="AT21" s="12" t="str">
        <f>IF(検体毎項目情報!B22="","",検体毎項目情報!B22)</f>
        <v/>
      </c>
      <c r="AU21" s="12" t="str">
        <f>IF(検体毎項目情報!C22="","",検体毎項目情報!C22)</f>
        <v/>
      </c>
      <c r="AV21" s="12" t="str">
        <f>IF(検体毎項目情報!D22="","",検体毎項目情報!D22)</f>
        <v/>
      </c>
      <c r="AW21" s="12" t="str">
        <f>IF(検体毎項目情報!E22="","",検体毎項目情報!E22)</f>
        <v/>
      </c>
      <c r="AX21" s="12" t="str">
        <f>IF(検体毎項目情報!F22="","",検体毎項目情報!F22)</f>
        <v/>
      </c>
      <c r="AY21" s="12" t="str">
        <f>IF(検体毎項目情報!G22="","",検体毎項目情報!G22)</f>
        <v/>
      </c>
      <c r="AZ21" s="12" t="str">
        <f>IF(検体毎項目情報!H22="","",検体毎項目情報!H22)</f>
        <v/>
      </c>
      <c r="BA21" s="12" t="str">
        <f>IF(検体毎項目情報!I22="","",検体毎項目情報!I22)</f>
        <v/>
      </c>
      <c r="BB21" s="12" t="str">
        <f>IF(検体毎項目情報!J22="","",検体毎項目情報!J22)</f>
        <v/>
      </c>
      <c r="BC21" s="12" t="str">
        <f>IF(検体毎項目情報!K22="","",検体毎項目情報!K22)</f>
        <v/>
      </c>
      <c r="BD21" s="12" t="str">
        <f>IF(検体毎項目情報!L22="","",検体毎項目情報!L22)</f>
        <v/>
      </c>
      <c r="BE21" s="12" t="str">
        <f>IF(検体毎項目情報!M22="","",検体毎項目情報!M22)</f>
        <v/>
      </c>
      <c r="BF21" s="12" t="str">
        <f>IF(検体毎項目情報!N22="","",検体毎項目情報!N22)</f>
        <v/>
      </c>
      <c r="BG21" s="12" t="str">
        <f>IF(検体毎項目情報!O22="","",検体毎項目情報!O22)</f>
        <v/>
      </c>
      <c r="BH21" s="12" t="str">
        <f>IF(検体毎項目情報!P22="","",検体毎項目情報!P22)</f>
        <v/>
      </c>
      <c r="BI21" s="12" t="str">
        <f>IF(検体毎項目情報!Q22="","",検体毎項目情報!Q22)</f>
        <v/>
      </c>
      <c r="BJ21" s="12" t="str">
        <f>IF(検体毎項目情報!R22="","",検体毎項目情報!R22)</f>
        <v/>
      </c>
      <c r="BK21" s="12" t="str">
        <f>IF(検体毎項目情報!S22="","",検体毎項目情報!S22)</f>
        <v/>
      </c>
      <c r="BL21" s="12" t="str">
        <f>IF(検体毎項目情報!T22="","",検体毎項目情報!T22)</f>
        <v/>
      </c>
      <c r="BM21" s="12" t="str">
        <f>IF(検体毎項目情報!U22="","",検体毎項目情報!U22)</f>
        <v/>
      </c>
      <c r="BN21" s="12" t="str">
        <f>IF(検体毎項目情報!V22="","",検体毎項目情報!V22)</f>
        <v/>
      </c>
      <c r="BO21" s="12" t="str">
        <f>IF(検体毎項目情報!W22="","",検体毎項目情報!W22)</f>
        <v/>
      </c>
      <c r="BP21" s="12" t="str">
        <f>IF(検体毎項目情報!X22="","",検体毎項目情報!X22)</f>
        <v/>
      </c>
    </row>
    <row r="22" spans="1:68">
      <c r="AR22" s="32" t="str">
        <f>IF(AS22="","",COUNTIF(費用項目一覧!A:A,判定詳細!AU22))</f>
        <v/>
      </c>
      <c r="AS22" s="12" t="str">
        <f>IF(検体毎項目情報!A23="","",検体毎項目情報!A23)</f>
        <v/>
      </c>
      <c r="AT22" s="12" t="str">
        <f>IF(検体毎項目情報!B23="","",検体毎項目情報!B23)</f>
        <v/>
      </c>
      <c r="AU22" s="12" t="str">
        <f>IF(検体毎項目情報!C23="","",検体毎項目情報!C23)</f>
        <v/>
      </c>
      <c r="AV22" s="12" t="str">
        <f>IF(検体毎項目情報!D23="","",検体毎項目情報!D23)</f>
        <v/>
      </c>
      <c r="AW22" s="12" t="str">
        <f>IF(検体毎項目情報!E23="","",検体毎項目情報!E23)</f>
        <v/>
      </c>
      <c r="AX22" s="12" t="str">
        <f>IF(検体毎項目情報!F23="","",検体毎項目情報!F23)</f>
        <v/>
      </c>
      <c r="AY22" s="12" t="str">
        <f>IF(検体毎項目情報!G23="","",検体毎項目情報!G23)</f>
        <v/>
      </c>
      <c r="AZ22" s="12" t="str">
        <f>IF(検体毎項目情報!H23="","",検体毎項目情報!H23)</f>
        <v/>
      </c>
      <c r="BA22" s="12" t="str">
        <f>IF(検体毎項目情報!I23="","",検体毎項目情報!I23)</f>
        <v/>
      </c>
      <c r="BB22" s="12" t="str">
        <f>IF(検体毎項目情報!J23="","",検体毎項目情報!J23)</f>
        <v/>
      </c>
      <c r="BC22" s="12" t="str">
        <f>IF(検体毎項目情報!K23="","",検体毎項目情報!K23)</f>
        <v/>
      </c>
      <c r="BD22" s="12" t="str">
        <f>IF(検体毎項目情報!L23="","",検体毎項目情報!L23)</f>
        <v/>
      </c>
      <c r="BE22" s="12" t="str">
        <f>IF(検体毎項目情報!M23="","",検体毎項目情報!M23)</f>
        <v/>
      </c>
      <c r="BF22" s="12" t="str">
        <f>IF(検体毎項目情報!N23="","",検体毎項目情報!N23)</f>
        <v/>
      </c>
      <c r="BG22" s="12" t="str">
        <f>IF(検体毎項目情報!O23="","",検体毎項目情報!O23)</f>
        <v/>
      </c>
      <c r="BH22" s="12" t="str">
        <f>IF(検体毎項目情報!P23="","",検体毎項目情報!P23)</f>
        <v/>
      </c>
      <c r="BI22" s="12" t="str">
        <f>IF(検体毎項目情報!Q23="","",検体毎項目情報!Q23)</f>
        <v/>
      </c>
      <c r="BJ22" s="12" t="str">
        <f>IF(検体毎項目情報!R23="","",検体毎項目情報!R23)</f>
        <v/>
      </c>
      <c r="BK22" s="12" t="str">
        <f>IF(検体毎項目情報!S23="","",検体毎項目情報!S23)</f>
        <v/>
      </c>
      <c r="BL22" s="12" t="str">
        <f>IF(検体毎項目情報!T23="","",検体毎項目情報!T23)</f>
        <v/>
      </c>
      <c r="BM22" s="12" t="str">
        <f>IF(検体毎項目情報!U23="","",検体毎項目情報!U23)</f>
        <v/>
      </c>
      <c r="BN22" s="12" t="str">
        <f>IF(検体毎項目情報!V23="","",検体毎項目情報!V23)</f>
        <v/>
      </c>
      <c r="BO22" s="12" t="str">
        <f>IF(検体毎項目情報!W23="","",検体毎項目情報!W23)</f>
        <v/>
      </c>
      <c r="BP22" s="12" t="str">
        <f>IF(検体毎項目情報!X23="","",検体毎項目情報!X23)</f>
        <v/>
      </c>
    </row>
    <row r="23" spans="1:68">
      <c r="AR23" s="32" t="str">
        <f>IF(AS23="","",COUNTIF(費用項目一覧!A:A,判定詳細!AU23))</f>
        <v/>
      </c>
      <c r="AS23" s="12" t="str">
        <f>IF(検体毎項目情報!A24="","",検体毎項目情報!A24)</f>
        <v/>
      </c>
      <c r="AT23" s="12" t="str">
        <f>IF(検体毎項目情報!B24="","",検体毎項目情報!B24)</f>
        <v/>
      </c>
      <c r="AU23" s="12" t="str">
        <f>IF(検体毎項目情報!C24="","",検体毎項目情報!C24)</f>
        <v/>
      </c>
      <c r="AV23" s="12" t="str">
        <f>IF(検体毎項目情報!D24="","",検体毎項目情報!D24)</f>
        <v/>
      </c>
      <c r="AW23" s="12" t="str">
        <f>IF(検体毎項目情報!E24="","",検体毎項目情報!E24)</f>
        <v/>
      </c>
      <c r="AX23" s="12" t="str">
        <f>IF(検体毎項目情報!F24="","",検体毎項目情報!F24)</f>
        <v/>
      </c>
      <c r="AY23" s="12" t="str">
        <f>IF(検体毎項目情報!G24="","",検体毎項目情報!G24)</f>
        <v/>
      </c>
      <c r="AZ23" s="12" t="str">
        <f>IF(検体毎項目情報!H24="","",検体毎項目情報!H24)</f>
        <v/>
      </c>
      <c r="BA23" s="12" t="str">
        <f>IF(検体毎項目情報!I24="","",検体毎項目情報!I24)</f>
        <v/>
      </c>
      <c r="BB23" s="12" t="str">
        <f>IF(検体毎項目情報!J24="","",検体毎項目情報!J24)</f>
        <v/>
      </c>
      <c r="BC23" s="12" t="str">
        <f>IF(検体毎項目情報!K24="","",検体毎項目情報!K24)</f>
        <v/>
      </c>
      <c r="BD23" s="12" t="str">
        <f>IF(検体毎項目情報!L24="","",検体毎項目情報!L24)</f>
        <v/>
      </c>
      <c r="BE23" s="12" t="str">
        <f>IF(検体毎項目情報!M24="","",検体毎項目情報!M24)</f>
        <v/>
      </c>
      <c r="BF23" s="12" t="str">
        <f>IF(検体毎項目情報!N24="","",検体毎項目情報!N24)</f>
        <v/>
      </c>
      <c r="BG23" s="12" t="str">
        <f>IF(検体毎項目情報!O24="","",検体毎項目情報!O24)</f>
        <v/>
      </c>
      <c r="BH23" s="12" t="str">
        <f>IF(検体毎項目情報!P24="","",検体毎項目情報!P24)</f>
        <v/>
      </c>
      <c r="BI23" s="12" t="str">
        <f>IF(検体毎項目情報!Q24="","",検体毎項目情報!Q24)</f>
        <v/>
      </c>
      <c r="BJ23" s="12" t="str">
        <f>IF(検体毎項目情報!R24="","",検体毎項目情報!R24)</f>
        <v/>
      </c>
      <c r="BK23" s="12" t="str">
        <f>IF(検体毎項目情報!S24="","",検体毎項目情報!S24)</f>
        <v/>
      </c>
      <c r="BL23" s="12" t="str">
        <f>IF(検体毎項目情報!T24="","",検体毎項目情報!T24)</f>
        <v/>
      </c>
      <c r="BM23" s="12" t="str">
        <f>IF(検体毎項目情報!U24="","",検体毎項目情報!U24)</f>
        <v/>
      </c>
      <c r="BN23" s="12" t="str">
        <f>IF(検体毎項目情報!V24="","",検体毎項目情報!V24)</f>
        <v/>
      </c>
      <c r="BO23" s="12" t="str">
        <f>IF(検体毎項目情報!W24="","",検体毎項目情報!W24)</f>
        <v/>
      </c>
      <c r="BP23" s="12" t="str">
        <f>IF(検体毎項目情報!X24="","",検体毎項目情報!X24)</f>
        <v/>
      </c>
    </row>
    <row r="24" spans="1:68">
      <c r="AR24" s="32" t="str">
        <f>IF(AS24="","",COUNTIF(費用項目一覧!A:A,判定詳細!AU24))</f>
        <v/>
      </c>
      <c r="AS24" s="12" t="str">
        <f>IF(検体毎項目情報!A25="","",検体毎項目情報!A25)</f>
        <v/>
      </c>
      <c r="AT24" s="12" t="str">
        <f>IF(検体毎項目情報!B25="","",検体毎項目情報!B25)</f>
        <v/>
      </c>
      <c r="AU24" s="12" t="str">
        <f>IF(検体毎項目情報!C25="","",検体毎項目情報!C25)</f>
        <v/>
      </c>
      <c r="AV24" s="12" t="str">
        <f>IF(検体毎項目情報!D25="","",検体毎項目情報!D25)</f>
        <v/>
      </c>
      <c r="AW24" s="12" t="str">
        <f>IF(検体毎項目情報!E25="","",検体毎項目情報!E25)</f>
        <v/>
      </c>
      <c r="AX24" s="12" t="str">
        <f>IF(検体毎項目情報!F25="","",検体毎項目情報!F25)</f>
        <v/>
      </c>
      <c r="AY24" s="12" t="str">
        <f>IF(検体毎項目情報!G25="","",検体毎項目情報!G25)</f>
        <v/>
      </c>
      <c r="AZ24" s="12" t="str">
        <f>IF(検体毎項目情報!H25="","",検体毎項目情報!H25)</f>
        <v/>
      </c>
      <c r="BA24" s="12" t="str">
        <f>IF(検体毎項目情報!I25="","",検体毎項目情報!I25)</f>
        <v/>
      </c>
      <c r="BB24" s="12" t="str">
        <f>IF(検体毎項目情報!J25="","",検体毎項目情報!J25)</f>
        <v/>
      </c>
      <c r="BC24" s="12" t="str">
        <f>IF(検体毎項目情報!K25="","",検体毎項目情報!K25)</f>
        <v/>
      </c>
      <c r="BD24" s="12" t="str">
        <f>IF(検体毎項目情報!L25="","",検体毎項目情報!L25)</f>
        <v/>
      </c>
      <c r="BE24" s="12" t="str">
        <f>IF(検体毎項目情報!M25="","",検体毎項目情報!M25)</f>
        <v/>
      </c>
      <c r="BF24" s="12" t="str">
        <f>IF(検体毎項目情報!N25="","",検体毎項目情報!N25)</f>
        <v/>
      </c>
      <c r="BG24" s="12" t="str">
        <f>IF(検体毎項目情報!O25="","",検体毎項目情報!O25)</f>
        <v/>
      </c>
      <c r="BH24" s="12" t="str">
        <f>IF(検体毎項目情報!P25="","",検体毎項目情報!P25)</f>
        <v/>
      </c>
      <c r="BI24" s="12" t="str">
        <f>IF(検体毎項目情報!Q25="","",検体毎項目情報!Q25)</f>
        <v/>
      </c>
      <c r="BJ24" s="12" t="str">
        <f>IF(検体毎項目情報!R25="","",検体毎項目情報!R25)</f>
        <v/>
      </c>
      <c r="BK24" s="12" t="str">
        <f>IF(検体毎項目情報!S25="","",検体毎項目情報!S25)</f>
        <v/>
      </c>
      <c r="BL24" s="12" t="str">
        <f>IF(検体毎項目情報!T25="","",検体毎項目情報!T25)</f>
        <v/>
      </c>
      <c r="BM24" s="12" t="str">
        <f>IF(検体毎項目情報!U25="","",検体毎項目情報!U25)</f>
        <v/>
      </c>
      <c r="BN24" s="12" t="str">
        <f>IF(検体毎項目情報!V25="","",検体毎項目情報!V25)</f>
        <v/>
      </c>
      <c r="BO24" s="12" t="str">
        <f>IF(検体毎項目情報!W25="","",検体毎項目情報!W25)</f>
        <v/>
      </c>
      <c r="BP24" s="12" t="str">
        <f>IF(検体毎項目情報!X25="","",検体毎項目情報!X25)</f>
        <v/>
      </c>
    </row>
    <row r="25" spans="1:68">
      <c r="AR25" s="32" t="str">
        <f>IF(AS25="","",COUNTIF(費用項目一覧!A:A,判定詳細!AU25))</f>
        <v/>
      </c>
      <c r="AS25" s="12" t="str">
        <f>IF(検体毎項目情報!A26="","",検体毎項目情報!A26)</f>
        <v/>
      </c>
      <c r="AT25" s="12" t="str">
        <f>IF(検体毎項目情報!B26="","",検体毎項目情報!B26)</f>
        <v/>
      </c>
      <c r="AU25" s="12" t="str">
        <f>IF(検体毎項目情報!C26="","",検体毎項目情報!C26)</f>
        <v/>
      </c>
      <c r="AV25" s="12" t="str">
        <f>IF(検体毎項目情報!D26="","",検体毎項目情報!D26)</f>
        <v/>
      </c>
      <c r="AW25" s="12" t="str">
        <f>IF(検体毎項目情報!E26="","",検体毎項目情報!E26)</f>
        <v/>
      </c>
      <c r="AX25" s="12" t="str">
        <f>IF(検体毎項目情報!F26="","",検体毎項目情報!F26)</f>
        <v/>
      </c>
      <c r="AY25" s="12" t="str">
        <f>IF(検体毎項目情報!G26="","",検体毎項目情報!G26)</f>
        <v/>
      </c>
      <c r="AZ25" s="12" t="str">
        <f>IF(検体毎項目情報!H26="","",検体毎項目情報!H26)</f>
        <v/>
      </c>
      <c r="BA25" s="12" t="str">
        <f>IF(検体毎項目情報!I26="","",検体毎項目情報!I26)</f>
        <v/>
      </c>
      <c r="BB25" s="12" t="str">
        <f>IF(検体毎項目情報!J26="","",検体毎項目情報!J26)</f>
        <v/>
      </c>
      <c r="BC25" s="12" t="str">
        <f>IF(検体毎項目情報!K26="","",検体毎項目情報!K26)</f>
        <v/>
      </c>
      <c r="BD25" s="12" t="str">
        <f>IF(検体毎項目情報!L26="","",検体毎項目情報!L26)</f>
        <v/>
      </c>
      <c r="BE25" s="12" t="str">
        <f>IF(検体毎項目情報!M26="","",検体毎項目情報!M26)</f>
        <v/>
      </c>
      <c r="BF25" s="12" t="str">
        <f>IF(検体毎項目情報!N26="","",検体毎項目情報!N26)</f>
        <v/>
      </c>
      <c r="BG25" s="12" t="str">
        <f>IF(検体毎項目情報!O26="","",検体毎項目情報!O26)</f>
        <v/>
      </c>
      <c r="BH25" s="12" t="str">
        <f>IF(検体毎項目情報!P26="","",検体毎項目情報!P26)</f>
        <v/>
      </c>
      <c r="BI25" s="12" t="str">
        <f>IF(検体毎項目情報!Q26="","",検体毎項目情報!Q26)</f>
        <v/>
      </c>
      <c r="BJ25" s="12" t="str">
        <f>IF(検体毎項目情報!R26="","",検体毎項目情報!R26)</f>
        <v/>
      </c>
      <c r="BK25" s="12" t="str">
        <f>IF(検体毎項目情報!S26="","",検体毎項目情報!S26)</f>
        <v/>
      </c>
      <c r="BL25" s="12" t="str">
        <f>IF(検体毎項目情報!T26="","",検体毎項目情報!T26)</f>
        <v/>
      </c>
      <c r="BM25" s="12" t="str">
        <f>IF(検体毎項目情報!U26="","",検体毎項目情報!U26)</f>
        <v/>
      </c>
      <c r="BN25" s="12" t="str">
        <f>IF(検体毎項目情報!V26="","",検体毎項目情報!V26)</f>
        <v/>
      </c>
      <c r="BO25" s="12" t="str">
        <f>IF(検体毎項目情報!W26="","",検体毎項目情報!W26)</f>
        <v/>
      </c>
      <c r="BP25" s="12" t="str">
        <f>IF(検体毎項目情報!X26="","",検体毎項目情報!X26)</f>
        <v/>
      </c>
    </row>
    <row r="26" spans="1:68">
      <c r="AR26" s="32" t="str">
        <f>IF(AS26="","",COUNTIF(費用項目一覧!A:A,判定詳細!AU26))</f>
        <v/>
      </c>
      <c r="AS26" s="12" t="str">
        <f>IF(検体毎項目情報!A27="","",検体毎項目情報!A27)</f>
        <v/>
      </c>
      <c r="AT26" s="12" t="str">
        <f>IF(検体毎項目情報!B27="","",検体毎項目情報!B27)</f>
        <v/>
      </c>
      <c r="AU26" s="12" t="str">
        <f>IF(検体毎項目情報!C27="","",検体毎項目情報!C27)</f>
        <v/>
      </c>
      <c r="AV26" s="12" t="str">
        <f>IF(検体毎項目情報!D27="","",検体毎項目情報!D27)</f>
        <v/>
      </c>
      <c r="AW26" s="12" t="str">
        <f>IF(検体毎項目情報!E27="","",検体毎項目情報!E27)</f>
        <v/>
      </c>
      <c r="AX26" s="12" t="str">
        <f>IF(検体毎項目情報!F27="","",検体毎項目情報!F27)</f>
        <v/>
      </c>
      <c r="AY26" s="12" t="str">
        <f>IF(検体毎項目情報!G27="","",検体毎項目情報!G27)</f>
        <v/>
      </c>
      <c r="AZ26" s="12" t="str">
        <f>IF(検体毎項目情報!H27="","",検体毎項目情報!H27)</f>
        <v/>
      </c>
      <c r="BA26" s="12" t="str">
        <f>IF(検体毎項目情報!I27="","",検体毎項目情報!I27)</f>
        <v/>
      </c>
      <c r="BB26" s="12" t="str">
        <f>IF(検体毎項目情報!J27="","",検体毎項目情報!J27)</f>
        <v/>
      </c>
      <c r="BC26" s="12" t="str">
        <f>IF(検体毎項目情報!K27="","",検体毎項目情報!K27)</f>
        <v/>
      </c>
      <c r="BD26" s="12" t="str">
        <f>IF(検体毎項目情報!L27="","",検体毎項目情報!L27)</f>
        <v/>
      </c>
      <c r="BE26" s="12" t="str">
        <f>IF(検体毎項目情報!M27="","",検体毎項目情報!M27)</f>
        <v/>
      </c>
      <c r="BF26" s="12" t="str">
        <f>IF(検体毎項目情報!N27="","",検体毎項目情報!N27)</f>
        <v/>
      </c>
      <c r="BG26" s="12" t="str">
        <f>IF(検体毎項目情報!O27="","",検体毎項目情報!O27)</f>
        <v/>
      </c>
      <c r="BH26" s="12" t="str">
        <f>IF(検体毎項目情報!P27="","",検体毎項目情報!P27)</f>
        <v/>
      </c>
      <c r="BI26" s="12" t="str">
        <f>IF(検体毎項目情報!Q27="","",検体毎項目情報!Q27)</f>
        <v/>
      </c>
      <c r="BJ26" s="12" t="str">
        <f>IF(検体毎項目情報!R27="","",検体毎項目情報!R27)</f>
        <v/>
      </c>
      <c r="BK26" s="12" t="str">
        <f>IF(検体毎項目情報!S27="","",検体毎項目情報!S27)</f>
        <v/>
      </c>
      <c r="BL26" s="12" t="str">
        <f>IF(検体毎項目情報!T27="","",検体毎項目情報!T27)</f>
        <v/>
      </c>
      <c r="BM26" s="12" t="str">
        <f>IF(検体毎項目情報!U27="","",検体毎項目情報!U27)</f>
        <v/>
      </c>
      <c r="BN26" s="12" t="str">
        <f>IF(検体毎項目情報!V27="","",検体毎項目情報!V27)</f>
        <v/>
      </c>
      <c r="BO26" s="12" t="str">
        <f>IF(検体毎項目情報!W27="","",検体毎項目情報!W27)</f>
        <v/>
      </c>
      <c r="BP26" s="12" t="str">
        <f>IF(検体毎項目情報!X27="","",検体毎項目情報!X27)</f>
        <v/>
      </c>
    </row>
    <row r="27" spans="1:68">
      <c r="AR27" s="32" t="str">
        <f>IF(AS27="","",COUNTIF(費用項目一覧!A:A,判定詳細!AU27))</f>
        <v/>
      </c>
      <c r="AS27" s="12" t="str">
        <f>IF(検体毎項目情報!A28="","",検体毎項目情報!A28)</f>
        <v/>
      </c>
      <c r="AT27" s="12" t="str">
        <f>IF(検体毎項目情報!B28="","",検体毎項目情報!B28)</f>
        <v/>
      </c>
      <c r="AU27" s="12" t="str">
        <f>IF(検体毎項目情報!C28="","",検体毎項目情報!C28)</f>
        <v/>
      </c>
      <c r="AV27" s="12" t="str">
        <f>IF(検体毎項目情報!D28="","",検体毎項目情報!D28)</f>
        <v/>
      </c>
      <c r="AW27" s="12" t="str">
        <f>IF(検体毎項目情報!E28="","",検体毎項目情報!E28)</f>
        <v/>
      </c>
      <c r="AX27" s="12" t="str">
        <f>IF(検体毎項目情報!F28="","",検体毎項目情報!F28)</f>
        <v/>
      </c>
      <c r="AY27" s="12" t="str">
        <f>IF(検体毎項目情報!G28="","",検体毎項目情報!G28)</f>
        <v/>
      </c>
      <c r="AZ27" s="12" t="str">
        <f>IF(検体毎項目情報!H28="","",検体毎項目情報!H28)</f>
        <v/>
      </c>
      <c r="BA27" s="12" t="str">
        <f>IF(検体毎項目情報!I28="","",検体毎項目情報!I28)</f>
        <v/>
      </c>
      <c r="BB27" s="12" t="str">
        <f>IF(検体毎項目情報!J28="","",検体毎項目情報!J28)</f>
        <v/>
      </c>
      <c r="BC27" s="12" t="str">
        <f>IF(検体毎項目情報!K28="","",検体毎項目情報!K28)</f>
        <v/>
      </c>
      <c r="BD27" s="12" t="str">
        <f>IF(検体毎項目情報!L28="","",検体毎項目情報!L28)</f>
        <v/>
      </c>
      <c r="BE27" s="12" t="str">
        <f>IF(検体毎項目情報!M28="","",検体毎項目情報!M28)</f>
        <v/>
      </c>
      <c r="BF27" s="12" t="str">
        <f>IF(検体毎項目情報!N28="","",検体毎項目情報!N28)</f>
        <v/>
      </c>
      <c r="BG27" s="12" t="str">
        <f>IF(検体毎項目情報!O28="","",検体毎項目情報!O28)</f>
        <v/>
      </c>
      <c r="BH27" s="12" t="str">
        <f>IF(検体毎項目情報!P28="","",検体毎項目情報!P28)</f>
        <v/>
      </c>
      <c r="BI27" s="12" t="str">
        <f>IF(検体毎項目情報!Q28="","",検体毎項目情報!Q28)</f>
        <v/>
      </c>
      <c r="BJ27" s="12" t="str">
        <f>IF(検体毎項目情報!R28="","",検体毎項目情報!R28)</f>
        <v/>
      </c>
      <c r="BK27" s="12" t="str">
        <f>IF(検体毎項目情報!S28="","",検体毎項目情報!S28)</f>
        <v/>
      </c>
      <c r="BL27" s="12" t="str">
        <f>IF(検体毎項目情報!T28="","",検体毎項目情報!T28)</f>
        <v/>
      </c>
      <c r="BM27" s="12" t="str">
        <f>IF(検体毎項目情報!U28="","",検体毎項目情報!U28)</f>
        <v/>
      </c>
      <c r="BN27" s="12" t="str">
        <f>IF(検体毎項目情報!V28="","",検体毎項目情報!V28)</f>
        <v/>
      </c>
      <c r="BO27" s="12" t="str">
        <f>IF(検体毎項目情報!W28="","",検体毎項目情報!W28)</f>
        <v/>
      </c>
      <c r="BP27" s="12" t="str">
        <f>IF(検体毎項目情報!X28="","",検体毎項目情報!X28)</f>
        <v/>
      </c>
    </row>
    <row r="28" spans="1:68">
      <c r="AR28" s="32" t="str">
        <f>IF(AS28="","",COUNTIF(費用項目一覧!A:A,判定詳細!AU28))</f>
        <v/>
      </c>
      <c r="AS28" s="12" t="str">
        <f>IF(検体毎項目情報!A29="","",検体毎項目情報!A29)</f>
        <v/>
      </c>
      <c r="AT28" s="12" t="str">
        <f>IF(検体毎項目情報!B29="","",検体毎項目情報!B29)</f>
        <v/>
      </c>
      <c r="AU28" s="12" t="str">
        <f>IF(検体毎項目情報!C29="","",検体毎項目情報!C29)</f>
        <v/>
      </c>
      <c r="AV28" s="12" t="str">
        <f>IF(検体毎項目情報!D29="","",検体毎項目情報!D29)</f>
        <v/>
      </c>
      <c r="AW28" s="12" t="str">
        <f>IF(検体毎項目情報!E29="","",検体毎項目情報!E29)</f>
        <v/>
      </c>
      <c r="AX28" s="12" t="str">
        <f>IF(検体毎項目情報!F29="","",検体毎項目情報!F29)</f>
        <v/>
      </c>
      <c r="AY28" s="12" t="str">
        <f>IF(検体毎項目情報!G29="","",検体毎項目情報!G29)</f>
        <v/>
      </c>
      <c r="AZ28" s="12" t="str">
        <f>IF(検体毎項目情報!H29="","",検体毎項目情報!H29)</f>
        <v/>
      </c>
      <c r="BA28" s="12" t="str">
        <f>IF(検体毎項目情報!I29="","",検体毎項目情報!I29)</f>
        <v/>
      </c>
      <c r="BB28" s="12" t="str">
        <f>IF(検体毎項目情報!J29="","",検体毎項目情報!J29)</f>
        <v/>
      </c>
      <c r="BC28" s="12" t="str">
        <f>IF(検体毎項目情報!K29="","",検体毎項目情報!K29)</f>
        <v/>
      </c>
      <c r="BD28" s="12" t="str">
        <f>IF(検体毎項目情報!L29="","",検体毎項目情報!L29)</f>
        <v/>
      </c>
      <c r="BE28" s="12" t="str">
        <f>IF(検体毎項目情報!M29="","",検体毎項目情報!M29)</f>
        <v/>
      </c>
      <c r="BF28" s="12" t="str">
        <f>IF(検体毎項目情報!N29="","",検体毎項目情報!N29)</f>
        <v/>
      </c>
      <c r="BG28" s="12" t="str">
        <f>IF(検体毎項目情報!O29="","",検体毎項目情報!O29)</f>
        <v/>
      </c>
      <c r="BH28" s="12" t="str">
        <f>IF(検体毎項目情報!P29="","",検体毎項目情報!P29)</f>
        <v/>
      </c>
      <c r="BI28" s="12" t="str">
        <f>IF(検体毎項目情報!Q29="","",検体毎項目情報!Q29)</f>
        <v/>
      </c>
      <c r="BJ28" s="12" t="str">
        <f>IF(検体毎項目情報!R29="","",検体毎項目情報!R29)</f>
        <v/>
      </c>
      <c r="BK28" s="12" t="str">
        <f>IF(検体毎項目情報!S29="","",検体毎項目情報!S29)</f>
        <v/>
      </c>
      <c r="BL28" s="12" t="str">
        <f>IF(検体毎項目情報!T29="","",検体毎項目情報!T29)</f>
        <v/>
      </c>
      <c r="BM28" s="12" t="str">
        <f>IF(検体毎項目情報!U29="","",検体毎項目情報!U29)</f>
        <v/>
      </c>
      <c r="BN28" s="12" t="str">
        <f>IF(検体毎項目情報!V29="","",検体毎項目情報!V29)</f>
        <v/>
      </c>
      <c r="BO28" s="12" t="str">
        <f>IF(検体毎項目情報!W29="","",検体毎項目情報!W29)</f>
        <v/>
      </c>
      <c r="BP28" s="12" t="str">
        <f>IF(検体毎項目情報!X29="","",検体毎項目情報!X29)</f>
        <v/>
      </c>
    </row>
    <row r="29" spans="1:68">
      <c r="AR29" s="32" t="str">
        <f>IF(AS29="","",COUNTIF(費用項目一覧!A:A,判定詳細!AU29))</f>
        <v/>
      </c>
      <c r="AS29" s="12" t="str">
        <f>IF(検体毎項目情報!A30="","",検体毎項目情報!A30)</f>
        <v/>
      </c>
      <c r="AT29" s="12" t="str">
        <f>IF(検体毎項目情報!B30="","",検体毎項目情報!B30)</f>
        <v/>
      </c>
      <c r="AU29" s="12" t="str">
        <f>IF(検体毎項目情報!C30="","",検体毎項目情報!C30)</f>
        <v/>
      </c>
      <c r="AV29" s="12" t="str">
        <f>IF(検体毎項目情報!D30="","",検体毎項目情報!D30)</f>
        <v/>
      </c>
      <c r="AW29" s="12" t="str">
        <f>IF(検体毎項目情報!E30="","",検体毎項目情報!E30)</f>
        <v/>
      </c>
      <c r="AX29" s="12" t="str">
        <f>IF(検体毎項目情報!F30="","",検体毎項目情報!F30)</f>
        <v/>
      </c>
      <c r="AY29" s="12" t="str">
        <f>IF(検体毎項目情報!G30="","",検体毎項目情報!G30)</f>
        <v/>
      </c>
      <c r="AZ29" s="12" t="str">
        <f>IF(検体毎項目情報!H30="","",検体毎項目情報!H30)</f>
        <v/>
      </c>
      <c r="BA29" s="12" t="str">
        <f>IF(検体毎項目情報!I30="","",検体毎項目情報!I30)</f>
        <v/>
      </c>
      <c r="BB29" s="12" t="str">
        <f>IF(検体毎項目情報!J30="","",検体毎項目情報!J30)</f>
        <v/>
      </c>
      <c r="BC29" s="12" t="str">
        <f>IF(検体毎項目情報!K30="","",検体毎項目情報!K30)</f>
        <v/>
      </c>
      <c r="BD29" s="12" t="str">
        <f>IF(検体毎項目情報!L30="","",検体毎項目情報!L30)</f>
        <v/>
      </c>
      <c r="BE29" s="12" t="str">
        <f>IF(検体毎項目情報!M30="","",検体毎項目情報!M30)</f>
        <v/>
      </c>
      <c r="BF29" s="12" t="str">
        <f>IF(検体毎項目情報!N30="","",検体毎項目情報!N30)</f>
        <v/>
      </c>
      <c r="BG29" s="12" t="str">
        <f>IF(検体毎項目情報!O30="","",検体毎項目情報!O30)</f>
        <v/>
      </c>
      <c r="BH29" s="12" t="str">
        <f>IF(検体毎項目情報!P30="","",検体毎項目情報!P30)</f>
        <v/>
      </c>
      <c r="BI29" s="12" t="str">
        <f>IF(検体毎項目情報!Q30="","",検体毎項目情報!Q30)</f>
        <v/>
      </c>
      <c r="BJ29" s="12" t="str">
        <f>IF(検体毎項目情報!R30="","",検体毎項目情報!R30)</f>
        <v/>
      </c>
      <c r="BK29" s="12" t="str">
        <f>IF(検体毎項目情報!S30="","",検体毎項目情報!S30)</f>
        <v/>
      </c>
      <c r="BL29" s="12" t="str">
        <f>IF(検体毎項目情報!T30="","",検体毎項目情報!T30)</f>
        <v/>
      </c>
      <c r="BM29" s="12" t="str">
        <f>IF(検体毎項目情報!U30="","",検体毎項目情報!U30)</f>
        <v/>
      </c>
      <c r="BN29" s="12" t="str">
        <f>IF(検体毎項目情報!V30="","",検体毎項目情報!V30)</f>
        <v/>
      </c>
      <c r="BO29" s="12" t="str">
        <f>IF(検体毎項目情報!W30="","",検体毎項目情報!W30)</f>
        <v/>
      </c>
      <c r="BP29" s="12" t="str">
        <f>IF(検体毎項目情報!X30="","",検体毎項目情報!X30)</f>
        <v/>
      </c>
    </row>
    <row r="30" spans="1:68">
      <c r="AR30" s="32" t="str">
        <f>IF(AS30="","",COUNTIF(費用項目一覧!A:A,判定詳細!AU30))</f>
        <v/>
      </c>
      <c r="AS30" s="12" t="str">
        <f>IF(検体毎項目情報!A31="","",検体毎項目情報!A31)</f>
        <v/>
      </c>
      <c r="AT30" s="12" t="str">
        <f>IF(検体毎項目情報!B31="","",検体毎項目情報!B31)</f>
        <v/>
      </c>
      <c r="AU30" s="12" t="str">
        <f>IF(検体毎項目情報!C31="","",検体毎項目情報!C31)</f>
        <v/>
      </c>
      <c r="AV30" s="12" t="str">
        <f>IF(検体毎項目情報!D31="","",検体毎項目情報!D31)</f>
        <v/>
      </c>
      <c r="AW30" s="12" t="str">
        <f>IF(検体毎項目情報!E31="","",検体毎項目情報!E31)</f>
        <v/>
      </c>
      <c r="AX30" s="12" t="str">
        <f>IF(検体毎項目情報!F31="","",検体毎項目情報!F31)</f>
        <v/>
      </c>
      <c r="AY30" s="12" t="str">
        <f>IF(検体毎項目情報!G31="","",検体毎項目情報!G31)</f>
        <v/>
      </c>
      <c r="AZ30" s="12" t="str">
        <f>IF(検体毎項目情報!H31="","",検体毎項目情報!H31)</f>
        <v/>
      </c>
      <c r="BA30" s="12" t="str">
        <f>IF(検体毎項目情報!I31="","",検体毎項目情報!I31)</f>
        <v/>
      </c>
      <c r="BB30" s="12" t="str">
        <f>IF(検体毎項目情報!J31="","",検体毎項目情報!J31)</f>
        <v/>
      </c>
      <c r="BC30" s="12" t="str">
        <f>IF(検体毎項目情報!K31="","",検体毎項目情報!K31)</f>
        <v/>
      </c>
      <c r="BD30" s="12" t="str">
        <f>IF(検体毎項目情報!L31="","",検体毎項目情報!L31)</f>
        <v/>
      </c>
      <c r="BE30" s="12" t="str">
        <f>IF(検体毎項目情報!M31="","",検体毎項目情報!M31)</f>
        <v/>
      </c>
      <c r="BF30" s="12" t="str">
        <f>IF(検体毎項目情報!N31="","",検体毎項目情報!N31)</f>
        <v/>
      </c>
      <c r="BG30" s="12" t="str">
        <f>IF(検体毎項目情報!O31="","",検体毎項目情報!O31)</f>
        <v/>
      </c>
      <c r="BH30" s="12" t="str">
        <f>IF(検体毎項目情報!P31="","",検体毎項目情報!P31)</f>
        <v/>
      </c>
      <c r="BI30" s="12" t="str">
        <f>IF(検体毎項目情報!Q31="","",検体毎項目情報!Q31)</f>
        <v/>
      </c>
      <c r="BJ30" s="12" t="str">
        <f>IF(検体毎項目情報!R31="","",検体毎項目情報!R31)</f>
        <v/>
      </c>
      <c r="BK30" s="12" t="str">
        <f>IF(検体毎項目情報!S31="","",検体毎項目情報!S31)</f>
        <v/>
      </c>
      <c r="BL30" s="12" t="str">
        <f>IF(検体毎項目情報!T31="","",検体毎項目情報!T31)</f>
        <v/>
      </c>
      <c r="BM30" s="12" t="str">
        <f>IF(検体毎項目情報!U31="","",検体毎項目情報!U31)</f>
        <v/>
      </c>
      <c r="BN30" s="12" t="str">
        <f>IF(検体毎項目情報!V31="","",検体毎項目情報!V31)</f>
        <v/>
      </c>
      <c r="BO30" s="12" t="str">
        <f>IF(検体毎項目情報!W31="","",検体毎項目情報!W31)</f>
        <v/>
      </c>
      <c r="BP30" s="12" t="str">
        <f>IF(検体毎項目情報!X31="","",検体毎項目情報!X31)</f>
        <v/>
      </c>
    </row>
    <row r="31" spans="1:68">
      <c r="AR31" s="32" t="str">
        <f>IF(AS31="","",COUNTIF(費用項目一覧!A:A,判定詳細!AU31))</f>
        <v/>
      </c>
      <c r="AS31" s="12" t="str">
        <f>IF(検体毎項目情報!A32="","",検体毎項目情報!A32)</f>
        <v/>
      </c>
      <c r="AT31" s="12" t="str">
        <f>IF(検体毎項目情報!B32="","",検体毎項目情報!B32)</f>
        <v/>
      </c>
      <c r="AU31" s="12" t="str">
        <f>IF(検体毎項目情報!C32="","",検体毎項目情報!C32)</f>
        <v/>
      </c>
      <c r="AV31" s="12" t="str">
        <f>IF(検体毎項目情報!D32="","",検体毎項目情報!D32)</f>
        <v/>
      </c>
      <c r="AW31" s="12" t="str">
        <f>IF(検体毎項目情報!E32="","",検体毎項目情報!E32)</f>
        <v/>
      </c>
      <c r="AX31" s="12" t="str">
        <f>IF(検体毎項目情報!F32="","",検体毎項目情報!F32)</f>
        <v/>
      </c>
      <c r="AY31" s="12" t="str">
        <f>IF(検体毎項目情報!G32="","",検体毎項目情報!G32)</f>
        <v/>
      </c>
      <c r="AZ31" s="12" t="str">
        <f>IF(検体毎項目情報!H32="","",検体毎項目情報!H32)</f>
        <v/>
      </c>
      <c r="BA31" s="12" t="str">
        <f>IF(検体毎項目情報!I32="","",検体毎項目情報!I32)</f>
        <v/>
      </c>
      <c r="BB31" s="12" t="str">
        <f>IF(検体毎項目情報!J32="","",検体毎項目情報!J32)</f>
        <v/>
      </c>
      <c r="BC31" s="12" t="str">
        <f>IF(検体毎項目情報!K32="","",検体毎項目情報!K32)</f>
        <v/>
      </c>
      <c r="BD31" s="12" t="str">
        <f>IF(検体毎項目情報!L32="","",検体毎項目情報!L32)</f>
        <v/>
      </c>
      <c r="BE31" s="12" t="str">
        <f>IF(検体毎項目情報!M32="","",検体毎項目情報!M32)</f>
        <v/>
      </c>
      <c r="BF31" s="12" t="str">
        <f>IF(検体毎項目情報!N32="","",検体毎項目情報!N32)</f>
        <v/>
      </c>
      <c r="BG31" s="12" t="str">
        <f>IF(検体毎項目情報!O32="","",検体毎項目情報!O32)</f>
        <v/>
      </c>
      <c r="BH31" s="12" t="str">
        <f>IF(検体毎項目情報!P32="","",検体毎項目情報!P32)</f>
        <v/>
      </c>
      <c r="BI31" s="12" t="str">
        <f>IF(検体毎項目情報!Q32="","",検体毎項目情報!Q32)</f>
        <v/>
      </c>
      <c r="BJ31" s="12" t="str">
        <f>IF(検体毎項目情報!R32="","",検体毎項目情報!R32)</f>
        <v/>
      </c>
      <c r="BK31" s="12" t="str">
        <f>IF(検体毎項目情報!S32="","",検体毎項目情報!S32)</f>
        <v/>
      </c>
      <c r="BL31" s="12" t="str">
        <f>IF(検体毎項目情報!T32="","",検体毎項目情報!T32)</f>
        <v/>
      </c>
      <c r="BM31" s="12" t="str">
        <f>IF(検体毎項目情報!U32="","",検体毎項目情報!U32)</f>
        <v/>
      </c>
      <c r="BN31" s="12" t="str">
        <f>IF(検体毎項目情報!V32="","",検体毎項目情報!V32)</f>
        <v/>
      </c>
      <c r="BO31" s="12" t="str">
        <f>IF(検体毎項目情報!W32="","",検体毎項目情報!W32)</f>
        <v/>
      </c>
      <c r="BP31" s="12" t="str">
        <f>IF(検体毎項目情報!X32="","",検体毎項目情報!X32)</f>
        <v/>
      </c>
    </row>
    <row r="32" spans="1:68">
      <c r="AR32" s="32" t="str">
        <f>IF(AS32="","",COUNTIF(費用項目一覧!A:A,判定詳細!AU32))</f>
        <v/>
      </c>
      <c r="AS32" s="12" t="str">
        <f>IF(検体毎項目情報!A33="","",検体毎項目情報!A33)</f>
        <v/>
      </c>
      <c r="AT32" s="12" t="str">
        <f>IF(検体毎項目情報!B33="","",検体毎項目情報!B33)</f>
        <v/>
      </c>
      <c r="AU32" s="12" t="str">
        <f>IF(検体毎項目情報!C33="","",検体毎項目情報!C33)</f>
        <v/>
      </c>
      <c r="AV32" s="12" t="str">
        <f>IF(検体毎項目情報!D33="","",検体毎項目情報!D33)</f>
        <v/>
      </c>
      <c r="AW32" s="12" t="str">
        <f>IF(検体毎項目情報!E33="","",検体毎項目情報!E33)</f>
        <v/>
      </c>
      <c r="AX32" s="12" t="str">
        <f>IF(検体毎項目情報!F33="","",検体毎項目情報!F33)</f>
        <v/>
      </c>
      <c r="AY32" s="12" t="str">
        <f>IF(検体毎項目情報!G33="","",検体毎項目情報!G33)</f>
        <v/>
      </c>
      <c r="AZ32" s="12" t="str">
        <f>IF(検体毎項目情報!H33="","",検体毎項目情報!H33)</f>
        <v/>
      </c>
      <c r="BA32" s="12" t="str">
        <f>IF(検体毎項目情報!I33="","",検体毎項目情報!I33)</f>
        <v/>
      </c>
      <c r="BB32" s="12" t="str">
        <f>IF(検体毎項目情報!J33="","",検体毎項目情報!J33)</f>
        <v/>
      </c>
      <c r="BC32" s="12" t="str">
        <f>IF(検体毎項目情報!K33="","",検体毎項目情報!K33)</f>
        <v/>
      </c>
      <c r="BD32" s="12" t="str">
        <f>IF(検体毎項目情報!L33="","",検体毎項目情報!L33)</f>
        <v/>
      </c>
      <c r="BE32" s="12" t="str">
        <f>IF(検体毎項目情報!M33="","",検体毎項目情報!M33)</f>
        <v/>
      </c>
      <c r="BF32" s="12" t="str">
        <f>IF(検体毎項目情報!N33="","",検体毎項目情報!N33)</f>
        <v/>
      </c>
      <c r="BG32" s="12" t="str">
        <f>IF(検体毎項目情報!O33="","",検体毎項目情報!O33)</f>
        <v/>
      </c>
      <c r="BH32" s="12" t="str">
        <f>IF(検体毎項目情報!P33="","",検体毎項目情報!P33)</f>
        <v/>
      </c>
      <c r="BI32" s="12" t="str">
        <f>IF(検体毎項目情報!Q33="","",検体毎項目情報!Q33)</f>
        <v/>
      </c>
      <c r="BJ32" s="12" t="str">
        <f>IF(検体毎項目情報!R33="","",検体毎項目情報!R33)</f>
        <v/>
      </c>
      <c r="BK32" s="12" t="str">
        <f>IF(検体毎項目情報!S33="","",検体毎項目情報!S33)</f>
        <v/>
      </c>
      <c r="BL32" s="12" t="str">
        <f>IF(検体毎項目情報!T33="","",検体毎項目情報!T33)</f>
        <v/>
      </c>
      <c r="BM32" s="12" t="str">
        <f>IF(検体毎項目情報!U33="","",検体毎項目情報!U33)</f>
        <v/>
      </c>
      <c r="BN32" s="12" t="str">
        <f>IF(検体毎項目情報!V33="","",検体毎項目情報!V33)</f>
        <v/>
      </c>
      <c r="BO32" s="12" t="str">
        <f>IF(検体毎項目情報!W33="","",検体毎項目情報!W33)</f>
        <v/>
      </c>
      <c r="BP32" s="12" t="str">
        <f>IF(検体毎項目情報!X33="","",検体毎項目情報!X33)</f>
        <v/>
      </c>
    </row>
    <row r="33" spans="44:68">
      <c r="AR33" s="32" t="str">
        <f>IF(AS33="","",COUNTIF(費用項目一覧!A:A,判定詳細!AU33))</f>
        <v/>
      </c>
      <c r="AS33" s="12" t="str">
        <f>IF(検体毎項目情報!A34="","",検体毎項目情報!A34)</f>
        <v/>
      </c>
      <c r="AT33" s="12" t="str">
        <f>IF(検体毎項目情報!B34="","",検体毎項目情報!B34)</f>
        <v/>
      </c>
      <c r="AU33" s="12" t="str">
        <f>IF(検体毎項目情報!C34="","",検体毎項目情報!C34)</f>
        <v/>
      </c>
      <c r="AV33" s="12" t="str">
        <f>IF(検体毎項目情報!D34="","",検体毎項目情報!D34)</f>
        <v/>
      </c>
      <c r="AW33" s="12" t="str">
        <f>IF(検体毎項目情報!E34="","",検体毎項目情報!E34)</f>
        <v/>
      </c>
      <c r="AX33" s="12" t="str">
        <f>IF(検体毎項目情報!F34="","",検体毎項目情報!F34)</f>
        <v/>
      </c>
      <c r="AY33" s="12" t="str">
        <f>IF(検体毎項目情報!G34="","",検体毎項目情報!G34)</f>
        <v/>
      </c>
      <c r="AZ33" s="12" t="str">
        <f>IF(検体毎項目情報!H34="","",検体毎項目情報!H34)</f>
        <v/>
      </c>
      <c r="BA33" s="12" t="str">
        <f>IF(検体毎項目情報!I34="","",検体毎項目情報!I34)</f>
        <v/>
      </c>
      <c r="BB33" s="12" t="str">
        <f>IF(検体毎項目情報!J34="","",検体毎項目情報!J34)</f>
        <v/>
      </c>
      <c r="BC33" s="12" t="str">
        <f>IF(検体毎項目情報!K34="","",検体毎項目情報!K34)</f>
        <v/>
      </c>
      <c r="BD33" s="12" t="str">
        <f>IF(検体毎項目情報!L34="","",検体毎項目情報!L34)</f>
        <v/>
      </c>
      <c r="BE33" s="12" t="str">
        <f>IF(検体毎項目情報!M34="","",検体毎項目情報!M34)</f>
        <v/>
      </c>
      <c r="BF33" s="12" t="str">
        <f>IF(検体毎項目情報!N34="","",検体毎項目情報!N34)</f>
        <v/>
      </c>
      <c r="BG33" s="12" t="str">
        <f>IF(検体毎項目情報!O34="","",検体毎項目情報!O34)</f>
        <v/>
      </c>
      <c r="BH33" s="12" t="str">
        <f>IF(検体毎項目情報!P34="","",検体毎項目情報!P34)</f>
        <v/>
      </c>
      <c r="BI33" s="12" t="str">
        <f>IF(検体毎項目情報!Q34="","",検体毎項目情報!Q34)</f>
        <v/>
      </c>
      <c r="BJ33" s="12" t="str">
        <f>IF(検体毎項目情報!R34="","",検体毎項目情報!R34)</f>
        <v/>
      </c>
      <c r="BK33" s="12" t="str">
        <f>IF(検体毎項目情報!S34="","",検体毎項目情報!S34)</f>
        <v/>
      </c>
      <c r="BL33" s="12" t="str">
        <f>IF(検体毎項目情報!T34="","",検体毎項目情報!T34)</f>
        <v/>
      </c>
      <c r="BM33" s="12" t="str">
        <f>IF(検体毎項目情報!U34="","",検体毎項目情報!U34)</f>
        <v/>
      </c>
      <c r="BN33" s="12" t="str">
        <f>IF(検体毎項目情報!V34="","",検体毎項目情報!V34)</f>
        <v/>
      </c>
      <c r="BO33" s="12" t="str">
        <f>IF(検体毎項目情報!W34="","",検体毎項目情報!W34)</f>
        <v/>
      </c>
      <c r="BP33" s="12" t="str">
        <f>IF(検体毎項目情報!X34="","",検体毎項目情報!X34)</f>
        <v/>
      </c>
    </row>
    <row r="34" spans="44:68">
      <c r="AR34" s="32" t="str">
        <f>IF(AS34="","",COUNTIF(費用項目一覧!A:A,判定詳細!AU34))</f>
        <v/>
      </c>
      <c r="AS34" s="12" t="str">
        <f>IF(検体毎項目情報!A35="","",検体毎項目情報!A35)</f>
        <v/>
      </c>
      <c r="AT34" s="12" t="str">
        <f>IF(検体毎項目情報!B35="","",検体毎項目情報!B35)</f>
        <v/>
      </c>
      <c r="AU34" s="12" t="str">
        <f>IF(検体毎項目情報!C35="","",検体毎項目情報!C35)</f>
        <v/>
      </c>
      <c r="AV34" s="12" t="str">
        <f>IF(検体毎項目情報!D35="","",検体毎項目情報!D35)</f>
        <v/>
      </c>
      <c r="AW34" s="12" t="str">
        <f>IF(検体毎項目情報!E35="","",検体毎項目情報!E35)</f>
        <v/>
      </c>
      <c r="AX34" s="12" t="str">
        <f>IF(検体毎項目情報!F35="","",検体毎項目情報!F35)</f>
        <v/>
      </c>
      <c r="AY34" s="12" t="str">
        <f>IF(検体毎項目情報!G35="","",検体毎項目情報!G35)</f>
        <v/>
      </c>
      <c r="AZ34" s="12" t="str">
        <f>IF(検体毎項目情報!H35="","",検体毎項目情報!H35)</f>
        <v/>
      </c>
      <c r="BA34" s="12" t="str">
        <f>IF(検体毎項目情報!I35="","",検体毎項目情報!I35)</f>
        <v/>
      </c>
      <c r="BB34" s="12" t="str">
        <f>IF(検体毎項目情報!J35="","",検体毎項目情報!J35)</f>
        <v/>
      </c>
      <c r="BC34" s="12" t="str">
        <f>IF(検体毎項目情報!K35="","",検体毎項目情報!K35)</f>
        <v/>
      </c>
      <c r="BD34" s="12" t="str">
        <f>IF(検体毎項目情報!L35="","",検体毎項目情報!L35)</f>
        <v/>
      </c>
      <c r="BE34" s="12" t="str">
        <f>IF(検体毎項目情報!M35="","",検体毎項目情報!M35)</f>
        <v/>
      </c>
      <c r="BF34" s="12" t="str">
        <f>IF(検体毎項目情報!N35="","",検体毎項目情報!N35)</f>
        <v/>
      </c>
      <c r="BG34" s="12" t="str">
        <f>IF(検体毎項目情報!O35="","",検体毎項目情報!O35)</f>
        <v/>
      </c>
      <c r="BH34" s="12" t="str">
        <f>IF(検体毎項目情報!P35="","",検体毎項目情報!P35)</f>
        <v/>
      </c>
      <c r="BI34" s="12" t="str">
        <f>IF(検体毎項目情報!Q35="","",検体毎項目情報!Q35)</f>
        <v/>
      </c>
      <c r="BJ34" s="12" t="str">
        <f>IF(検体毎項目情報!R35="","",検体毎項目情報!R35)</f>
        <v/>
      </c>
      <c r="BK34" s="12" t="str">
        <f>IF(検体毎項目情報!S35="","",検体毎項目情報!S35)</f>
        <v/>
      </c>
      <c r="BL34" s="12" t="str">
        <f>IF(検体毎項目情報!T35="","",検体毎項目情報!T35)</f>
        <v/>
      </c>
      <c r="BM34" s="12" t="str">
        <f>IF(検体毎項目情報!U35="","",検体毎項目情報!U35)</f>
        <v/>
      </c>
      <c r="BN34" s="12" t="str">
        <f>IF(検体毎項目情報!V35="","",検体毎項目情報!V35)</f>
        <v/>
      </c>
      <c r="BO34" s="12" t="str">
        <f>IF(検体毎項目情報!W35="","",検体毎項目情報!W35)</f>
        <v/>
      </c>
      <c r="BP34" s="12" t="str">
        <f>IF(検体毎項目情報!X35="","",検体毎項目情報!X35)</f>
        <v/>
      </c>
    </row>
    <row r="35" spans="44:68">
      <c r="AR35" s="32" t="str">
        <f>IF(AS35="","",COUNTIF(費用項目一覧!A:A,判定詳細!AU35))</f>
        <v/>
      </c>
      <c r="AS35" s="12" t="str">
        <f>IF(検体毎項目情報!A36="","",検体毎項目情報!A36)</f>
        <v/>
      </c>
      <c r="AT35" s="12" t="str">
        <f>IF(検体毎項目情報!B36="","",検体毎項目情報!B36)</f>
        <v/>
      </c>
      <c r="AU35" s="12" t="str">
        <f>IF(検体毎項目情報!C36="","",検体毎項目情報!C36)</f>
        <v/>
      </c>
      <c r="AV35" s="12" t="str">
        <f>IF(検体毎項目情報!D36="","",検体毎項目情報!D36)</f>
        <v/>
      </c>
      <c r="AW35" s="12" t="str">
        <f>IF(検体毎項目情報!E36="","",検体毎項目情報!E36)</f>
        <v/>
      </c>
      <c r="AX35" s="12" t="str">
        <f>IF(検体毎項目情報!F36="","",検体毎項目情報!F36)</f>
        <v/>
      </c>
      <c r="AY35" s="12" t="str">
        <f>IF(検体毎項目情報!G36="","",検体毎項目情報!G36)</f>
        <v/>
      </c>
      <c r="AZ35" s="12" t="str">
        <f>IF(検体毎項目情報!H36="","",検体毎項目情報!H36)</f>
        <v/>
      </c>
      <c r="BA35" s="12" t="str">
        <f>IF(検体毎項目情報!I36="","",検体毎項目情報!I36)</f>
        <v/>
      </c>
      <c r="BB35" s="12" t="str">
        <f>IF(検体毎項目情報!J36="","",検体毎項目情報!J36)</f>
        <v/>
      </c>
      <c r="BC35" s="12" t="str">
        <f>IF(検体毎項目情報!K36="","",検体毎項目情報!K36)</f>
        <v/>
      </c>
      <c r="BD35" s="12" t="str">
        <f>IF(検体毎項目情報!L36="","",検体毎項目情報!L36)</f>
        <v/>
      </c>
      <c r="BE35" s="12" t="str">
        <f>IF(検体毎項目情報!M36="","",検体毎項目情報!M36)</f>
        <v/>
      </c>
      <c r="BF35" s="12" t="str">
        <f>IF(検体毎項目情報!N36="","",検体毎項目情報!N36)</f>
        <v/>
      </c>
      <c r="BG35" s="12" t="str">
        <f>IF(検体毎項目情報!O36="","",検体毎項目情報!O36)</f>
        <v/>
      </c>
      <c r="BH35" s="12" t="str">
        <f>IF(検体毎項目情報!P36="","",検体毎項目情報!P36)</f>
        <v/>
      </c>
      <c r="BI35" s="12" t="str">
        <f>IF(検体毎項目情報!Q36="","",検体毎項目情報!Q36)</f>
        <v/>
      </c>
      <c r="BJ35" s="12" t="str">
        <f>IF(検体毎項目情報!R36="","",検体毎項目情報!R36)</f>
        <v/>
      </c>
      <c r="BK35" s="12" t="str">
        <f>IF(検体毎項目情報!S36="","",検体毎項目情報!S36)</f>
        <v/>
      </c>
      <c r="BL35" s="12" t="str">
        <f>IF(検体毎項目情報!T36="","",検体毎項目情報!T36)</f>
        <v/>
      </c>
      <c r="BM35" s="12" t="str">
        <f>IF(検体毎項目情報!U36="","",検体毎項目情報!U36)</f>
        <v/>
      </c>
      <c r="BN35" s="12" t="str">
        <f>IF(検体毎項目情報!V36="","",検体毎項目情報!V36)</f>
        <v/>
      </c>
      <c r="BO35" s="12" t="str">
        <f>IF(検体毎項目情報!W36="","",検体毎項目情報!W36)</f>
        <v/>
      </c>
      <c r="BP35" s="12" t="str">
        <f>IF(検体毎項目情報!X36="","",検体毎項目情報!X36)</f>
        <v/>
      </c>
    </row>
    <row r="36" spans="44:68">
      <c r="AR36" s="32" t="str">
        <f>IF(AS36="","",COUNTIF(費用項目一覧!A:A,判定詳細!AU36))</f>
        <v/>
      </c>
      <c r="AS36" s="12" t="str">
        <f>IF(検体毎項目情報!A37="","",検体毎項目情報!A37)</f>
        <v/>
      </c>
      <c r="AT36" s="12" t="str">
        <f>IF(検体毎項目情報!B37="","",検体毎項目情報!B37)</f>
        <v/>
      </c>
      <c r="AU36" s="12" t="str">
        <f>IF(検体毎項目情報!C37="","",検体毎項目情報!C37)</f>
        <v/>
      </c>
      <c r="AV36" s="12" t="str">
        <f>IF(検体毎項目情報!D37="","",検体毎項目情報!D37)</f>
        <v/>
      </c>
      <c r="AW36" s="12" t="str">
        <f>IF(検体毎項目情報!E37="","",検体毎項目情報!E37)</f>
        <v/>
      </c>
      <c r="AX36" s="12" t="str">
        <f>IF(検体毎項目情報!F37="","",検体毎項目情報!F37)</f>
        <v/>
      </c>
      <c r="AY36" s="12" t="str">
        <f>IF(検体毎項目情報!G37="","",検体毎項目情報!G37)</f>
        <v/>
      </c>
      <c r="AZ36" s="12" t="str">
        <f>IF(検体毎項目情報!H37="","",検体毎項目情報!H37)</f>
        <v/>
      </c>
      <c r="BA36" s="12" t="str">
        <f>IF(検体毎項目情報!I37="","",検体毎項目情報!I37)</f>
        <v/>
      </c>
      <c r="BB36" s="12" t="str">
        <f>IF(検体毎項目情報!J37="","",検体毎項目情報!J37)</f>
        <v/>
      </c>
      <c r="BC36" s="12" t="str">
        <f>IF(検体毎項目情報!K37="","",検体毎項目情報!K37)</f>
        <v/>
      </c>
      <c r="BD36" s="12" t="str">
        <f>IF(検体毎項目情報!L37="","",検体毎項目情報!L37)</f>
        <v/>
      </c>
      <c r="BE36" s="12" t="str">
        <f>IF(検体毎項目情報!M37="","",検体毎項目情報!M37)</f>
        <v/>
      </c>
      <c r="BF36" s="12" t="str">
        <f>IF(検体毎項目情報!N37="","",検体毎項目情報!N37)</f>
        <v/>
      </c>
      <c r="BG36" s="12" t="str">
        <f>IF(検体毎項目情報!O37="","",検体毎項目情報!O37)</f>
        <v/>
      </c>
      <c r="BH36" s="12" t="str">
        <f>IF(検体毎項目情報!P37="","",検体毎項目情報!P37)</f>
        <v/>
      </c>
      <c r="BI36" s="12" t="str">
        <f>IF(検体毎項目情報!Q37="","",検体毎項目情報!Q37)</f>
        <v/>
      </c>
      <c r="BJ36" s="12" t="str">
        <f>IF(検体毎項目情報!R37="","",検体毎項目情報!R37)</f>
        <v/>
      </c>
      <c r="BK36" s="12" t="str">
        <f>IF(検体毎項目情報!S37="","",検体毎項目情報!S37)</f>
        <v/>
      </c>
      <c r="BL36" s="12" t="str">
        <f>IF(検体毎項目情報!T37="","",検体毎項目情報!T37)</f>
        <v/>
      </c>
      <c r="BM36" s="12" t="str">
        <f>IF(検体毎項目情報!U37="","",検体毎項目情報!U37)</f>
        <v/>
      </c>
      <c r="BN36" s="12" t="str">
        <f>IF(検体毎項目情報!V37="","",検体毎項目情報!V37)</f>
        <v/>
      </c>
      <c r="BO36" s="12" t="str">
        <f>IF(検体毎項目情報!W37="","",検体毎項目情報!W37)</f>
        <v/>
      </c>
      <c r="BP36" s="12" t="str">
        <f>IF(検体毎項目情報!X37="","",検体毎項目情報!X37)</f>
        <v/>
      </c>
    </row>
    <row r="37" spans="44:68">
      <c r="AR37" s="32" t="str">
        <f>IF(AS37="","",COUNTIF(費用項目一覧!A:A,判定詳細!AU37))</f>
        <v/>
      </c>
      <c r="AS37" s="12" t="str">
        <f>IF(検体毎項目情報!A38="","",検体毎項目情報!A38)</f>
        <v/>
      </c>
      <c r="AT37" s="12" t="str">
        <f>IF(検体毎項目情報!B38="","",検体毎項目情報!B38)</f>
        <v/>
      </c>
      <c r="AU37" s="12" t="str">
        <f>IF(検体毎項目情報!C38="","",検体毎項目情報!C38)</f>
        <v/>
      </c>
      <c r="AV37" s="12" t="str">
        <f>IF(検体毎項目情報!D38="","",検体毎項目情報!D38)</f>
        <v/>
      </c>
      <c r="AW37" s="12" t="str">
        <f>IF(検体毎項目情報!E38="","",検体毎項目情報!E38)</f>
        <v/>
      </c>
      <c r="AX37" s="12" t="str">
        <f>IF(検体毎項目情報!F38="","",検体毎項目情報!F38)</f>
        <v/>
      </c>
      <c r="AY37" s="12" t="str">
        <f>IF(検体毎項目情報!G38="","",検体毎項目情報!G38)</f>
        <v/>
      </c>
      <c r="AZ37" s="12" t="str">
        <f>IF(検体毎項目情報!H38="","",検体毎項目情報!H38)</f>
        <v/>
      </c>
      <c r="BA37" s="12" t="str">
        <f>IF(検体毎項目情報!I38="","",検体毎項目情報!I38)</f>
        <v/>
      </c>
      <c r="BB37" s="12" t="str">
        <f>IF(検体毎項目情報!J38="","",検体毎項目情報!J38)</f>
        <v/>
      </c>
      <c r="BC37" s="12" t="str">
        <f>IF(検体毎項目情報!K38="","",検体毎項目情報!K38)</f>
        <v/>
      </c>
      <c r="BD37" s="12" t="str">
        <f>IF(検体毎項目情報!L38="","",検体毎項目情報!L38)</f>
        <v/>
      </c>
      <c r="BE37" s="12" t="str">
        <f>IF(検体毎項目情報!M38="","",検体毎項目情報!M38)</f>
        <v/>
      </c>
      <c r="BF37" s="12" t="str">
        <f>IF(検体毎項目情報!N38="","",検体毎項目情報!N38)</f>
        <v/>
      </c>
      <c r="BG37" s="12" t="str">
        <f>IF(検体毎項目情報!O38="","",検体毎項目情報!O38)</f>
        <v/>
      </c>
      <c r="BH37" s="12" t="str">
        <f>IF(検体毎項目情報!P38="","",検体毎項目情報!P38)</f>
        <v/>
      </c>
      <c r="BI37" s="12" t="str">
        <f>IF(検体毎項目情報!Q38="","",検体毎項目情報!Q38)</f>
        <v/>
      </c>
      <c r="BJ37" s="12" t="str">
        <f>IF(検体毎項目情報!R38="","",検体毎項目情報!R38)</f>
        <v/>
      </c>
      <c r="BK37" s="12" t="str">
        <f>IF(検体毎項目情報!S38="","",検体毎項目情報!S38)</f>
        <v/>
      </c>
      <c r="BL37" s="12" t="str">
        <f>IF(検体毎項目情報!T38="","",検体毎項目情報!T38)</f>
        <v/>
      </c>
      <c r="BM37" s="12" t="str">
        <f>IF(検体毎項目情報!U38="","",検体毎項目情報!U38)</f>
        <v/>
      </c>
      <c r="BN37" s="12" t="str">
        <f>IF(検体毎項目情報!V38="","",検体毎項目情報!V38)</f>
        <v/>
      </c>
      <c r="BO37" s="12" t="str">
        <f>IF(検体毎項目情報!W38="","",検体毎項目情報!W38)</f>
        <v/>
      </c>
      <c r="BP37" s="12" t="str">
        <f>IF(検体毎項目情報!X38="","",検体毎項目情報!X38)</f>
        <v/>
      </c>
    </row>
    <row r="38" spans="44:68">
      <c r="AR38" s="32" t="str">
        <f>IF(AS38="","",COUNTIF(費用項目一覧!A:A,判定詳細!AU38))</f>
        <v/>
      </c>
      <c r="AS38" s="12" t="str">
        <f>IF(検体毎項目情報!A39="","",検体毎項目情報!A39)</f>
        <v/>
      </c>
      <c r="AT38" s="12" t="str">
        <f>IF(検体毎項目情報!B39="","",検体毎項目情報!B39)</f>
        <v/>
      </c>
      <c r="AU38" s="12" t="str">
        <f>IF(検体毎項目情報!C39="","",検体毎項目情報!C39)</f>
        <v/>
      </c>
      <c r="AV38" s="12" t="str">
        <f>IF(検体毎項目情報!D39="","",検体毎項目情報!D39)</f>
        <v/>
      </c>
      <c r="AW38" s="12" t="str">
        <f>IF(検体毎項目情報!E39="","",検体毎項目情報!E39)</f>
        <v/>
      </c>
      <c r="AX38" s="12" t="str">
        <f>IF(検体毎項目情報!F39="","",検体毎項目情報!F39)</f>
        <v/>
      </c>
      <c r="AY38" s="12" t="str">
        <f>IF(検体毎項目情報!G39="","",検体毎項目情報!G39)</f>
        <v/>
      </c>
      <c r="AZ38" s="12" t="str">
        <f>IF(検体毎項目情報!H39="","",検体毎項目情報!H39)</f>
        <v/>
      </c>
      <c r="BA38" s="12" t="str">
        <f>IF(検体毎項目情報!I39="","",検体毎項目情報!I39)</f>
        <v/>
      </c>
      <c r="BB38" s="12" t="str">
        <f>IF(検体毎項目情報!J39="","",検体毎項目情報!J39)</f>
        <v/>
      </c>
      <c r="BC38" s="12" t="str">
        <f>IF(検体毎項目情報!K39="","",検体毎項目情報!K39)</f>
        <v/>
      </c>
      <c r="BD38" s="12" t="str">
        <f>IF(検体毎項目情報!L39="","",検体毎項目情報!L39)</f>
        <v/>
      </c>
      <c r="BE38" s="12" t="str">
        <f>IF(検体毎項目情報!M39="","",検体毎項目情報!M39)</f>
        <v/>
      </c>
      <c r="BF38" s="12" t="str">
        <f>IF(検体毎項目情報!N39="","",検体毎項目情報!N39)</f>
        <v/>
      </c>
      <c r="BG38" s="12" t="str">
        <f>IF(検体毎項目情報!O39="","",検体毎項目情報!O39)</f>
        <v/>
      </c>
      <c r="BH38" s="12" t="str">
        <f>IF(検体毎項目情報!P39="","",検体毎項目情報!P39)</f>
        <v/>
      </c>
      <c r="BI38" s="12" t="str">
        <f>IF(検体毎項目情報!Q39="","",検体毎項目情報!Q39)</f>
        <v/>
      </c>
      <c r="BJ38" s="12" t="str">
        <f>IF(検体毎項目情報!R39="","",検体毎項目情報!R39)</f>
        <v/>
      </c>
      <c r="BK38" s="12" t="str">
        <f>IF(検体毎項目情報!S39="","",検体毎項目情報!S39)</f>
        <v/>
      </c>
      <c r="BL38" s="12" t="str">
        <f>IF(検体毎項目情報!T39="","",検体毎項目情報!T39)</f>
        <v/>
      </c>
      <c r="BM38" s="12" t="str">
        <f>IF(検体毎項目情報!U39="","",検体毎項目情報!U39)</f>
        <v/>
      </c>
      <c r="BN38" s="12" t="str">
        <f>IF(検体毎項目情報!V39="","",検体毎項目情報!V39)</f>
        <v/>
      </c>
      <c r="BO38" s="12" t="str">
        <f>IF(検体毎項目情報!W39="","",検体毎項目情報!W39)</f>
        <v/>
      </c>
      <c r="BP38" s="12" t="str">
        <f>IF(検体毎項目情報!X39="","",検体毎項目情報!X39)</f>
        <v/>
      </c>
    </row>
    <row r="39" spans="44:68">
      <c r="AR39" s="32" t="str">
        <f>IF(AS39="","",COUNTIF(費用項目一覧!A:A,判定詳細!AU39))</f>
        <v/>
      </c>
      <c r="AS39" s="12" t="str">
        <f>IF(検体毎項目情報!A40="","",検体毎項目情報!A40)</f>
        <v/>
      </c>
      <c r="AT39" s="12" t="str">
        <f>IF(検体毎項目情報!B40="","",検体毎項目情報!B40)</f>
        <v/>
      </c>
      <c r="AU39" s="12" t="str">
        <f>IF(検体毎項目情報!C40="","",検体毎項目情報!C40)</f>
        <v/>
      </c>
      <c r="AV39" s="12" t="str">
        <f>IF(検体毎項目情報!D40="","",検体毎項目情報!D40)</f>
        <v/>
      </c>
      <c r="AW39" s="12" t="str">
        <f>IF(検体毎項目情報!E40="","",検体毎項目情報!E40)</f>
        <v/>
      </c>
      <c r="AX39" s="12" t="str">
        <f>IF(検体毎項目情報!F40="","",検体毎項目情報!F40)</f>
        <v/>
      </c>
      <c r="AY39" s="12" t="str">
        <f>IF(検体毎項目情報!G40="","",検体毎項目情報!G40)</f>
        <v/>
      </c>
      <c r="AZ39" s="12" t="str">
        <f>IF(検体毎項目情報!H40="","",検体毎項目情報!H40)</f>
        <v/>
      </c>
      <c r="BA39" s="12" t="str">
        <f>IF(検体毎項目情報!I40="","",検体毎項目情報!I40)</f>
        <v/>
      </c>
      <c r="BB39" s="12" t="str">
        <f>IF(検体毎項目情報!J40="","",検体毎項目情報!J40)</f>
        <v/>
      </c>
      <c r="BC39" s="12" t="str">
        <f>IF(検体毎項目情報!K40="","",検体毎項目情報!K40)</f>
        <v/>
      </c>
      <c r="BD39" s="12" t="str">
        <f>IF(検体毎項目情報!L40="","",検体毎項目情報!L40)</f>
        <v/>
      </c>
      <c r="BE39" s="12" t="str">
        <f>IF(検体毎項目情報!M40="","",検体毎項目情報!M40)</f>
        <v/>
      </c>
      <c r="BF39" s="12" t="str">
        <f>IF(検体毎項目情報!N40="","",検体毎項目情報!N40)</f>
        <v/>
      </c>
      <c r="BG39" s="12" t="str">
        <f>IF(検体毎項目情報!O40="","",検体毎項目情報!O40)</f>
        <v/>
      </c>
      <c r="BH39" s="12" t="str">
        <f>IF(検体毎項目情報!P40="","",検体毎項目情報!P40)</f>
        <v/>
      </c>
      <c r="BI39" s="12" t="str">
        <f>IF(検体毎項目情報!Q40="","",検体毎項目情報!Q40)</f>
        <v/>
      </c>
      <c r="BJ39" s="12" t="str">
        <f>IF(検体毎項目情報!R40="","",検体毎項目情報!R40)</f>
        <v/>
      </c>
      <c r="BK39" s="12" t="str">
        <f>IF(検体毎項目情報!S40="","",検体毎項目情報!S40)</f>
        <v/>
      </c>
      <c r="BL39" s="12" t="str">
        <f>IF(検体毎項目情報!T40="","",検体毎項目情報!T40)</f>
        <v/>
      </c>
      <c r="BM39" s="12" t="str">
        <f>IF(検体毎項目情報!U40="","",検体毎項目情報!U40)</f>
        <v/>
      </c>
      <c r="BN39" s="12" t="str">
        <f>IF(検体毎項目情報!V40="","",検体毎項目情報!V40)</f>
        <v/>
      </c>
      <c r="BO39" s="12" t="str">
        <f>IF(検体毎項目情報!W40="","",検体毎項目情報!W40)</f>
        <v/>
      </c>
      <c r="BP39" s="12" t="str">
        <f>IF(検体毎項目情報!X40="","",検体毎項目情報!X40)</f>
        <v/>
      </c>
    </row>
    <row r="40" spans="44:68">
      <c r="AR40" s="32" t="str">
        <f>IF(AS40="","",COUNTIF(費用項目一覧!A:A,判定詳細!AU40))</f>
        <v/>
      </c>
      <c r="AS40" s="12" t="str">
        <f>IF(検体毎項目情報!A41="","",検体毎項目情報!A41)</f>
        <v/>
      </c>
      <c r="AT40" s="12" t="str">
        <f>IF(検体毎項目情報!B41="","",検体毎項目情報!B41)</f>
        <v/>
      </c>
      <c r="AU40" s="12" t="str">
        <f>IF(検体毎項目情報!C41="","",検体毎項目情報!C41)</f>
        <v/>
      </c>
      <c r="AV40" s="12" t="str">
        <f>IF(検体毎項目情報!D41="","",検体毎項目情報!D41)</f>
        <v/>
      </c>
      <c r="AW40" s="12" t="str">
        <f>IF(検体毎項目情報!E41="","",検体毎項目情報!E41)</f>
        <v/>
      </c>
      <c r="AX40" s="12" t="str">
        <f>IF(検体毎項目情報!F41="","",検体毎項目情報!F41)</f>
        <v/>
      </c>
      <c r="AY40" s="12" t="str">
        <f>IF(検体毎項目情報!G41="","",検体毎項目情報!G41)</f>
        <v/>
      </c>
      <c r="AZ40" s="12" t="str">
        <f>IF(検体毎項目情報!H41="","",検体毎項目情報!H41)</f>
        <v/>
      </c>
      <c r="BA40" s="12" t="str">
        <f>IF(検体毎項目情報!I41="","",検体毎項目情報!I41)</f>
        <v/>
      </c>
      <c r="BB40" s="12" t="str">
        <f>IF(検体毎項目情報!J41="","",検体毎項目情報!J41)</f>
        <v/>
      </c>
      <c r="BC40" s="12" t="str">
        <f>IF(検体毎項目情報!K41="","",検体毎項目情報!K41)</f>
        <v/>
      </c>
      <c r="BD40" s="12" t="str">
        <f>IF(検体毎項目情報!L41="","",検体毎項目情報!L41)</f>
        <v/>
      </c>
      <c r="BE40" s="12" t="str">
        <f>IF(検体毎項目情報!M41="","",検体毎項目情報!M41)</f>
        <v/>
      </c>
      <c r="BF40" s="12" t="str">
        <f>IF(検体毎項目情報!N41="","",検体毎項目情報!N41)</f>
        <v/>
      </c>
      <c r="BG40" s="12" t="str">
        <f>IF(検体毎項目情報!O41="","",検体毎項目情報!O41)</f>
        <v/>
      </c>
      <c r="BH40" s="12" t="str">
        <f>IF(検体毎項目情報!P41="","",検体毎項目情報!P41)</f>
        <v/>
      </c>
      <c r="BI40" s="12" t="str">
        <f>IF(検体毎項目情報!Q41="","",検体毎項目情報!Q41)</f>
        <v/>
      </c>
      <c r="BJ40" s="12" t="str">
        <f>IF(検体毎項目情報!R41="","",検体毎項目情報!R41)</f>
        <v/>
      </c>
      <c r="BK40" s="12" t="str">
        <f>IF(検体毎項目情報!S41="","",検体毎項目情報!S41)</f>
        <v/>
      </c>
      <c r="BL40" s="12" t="str">
        <f>IF(検体毎項目情報!T41="","",検体毎項目情報!T41)</f>
        <v/>
      </c>
      <c r="BM40" s="12" t="str">
        <f>IF(検体毎項目情報!U41="","",検体毎項目情報!U41)</f>
        <v/>
      </c>
      <c r="BN40" s="12" t="str">
        <f>IF(検体毎項目情報!V41="","",検体毎項目情報!V41)</f>
        <v/>
      </c>
      <c r="BO40" s="12" t="str">
        <f>IF(検体毎項目情報!W41="","",検体毎項目情報!W41)</f>
        <v/>
      </c>
      <c r="BP40" s="12" t="str">
        <f>IF(検体毎項目情報!X41="","",検体毎項目情報!X41)</f>
        <v/>
      </c>
    </row>
    <row r="41" spans="44:68">
      <c r="AR41" s="32" t="str">
        <f>IF(AS41="","",COUNTIF(費用項目一覧!A:A,判定詳細!AU41))</f>
        <v/>
      </c>
      <c r="AS41" s="12" t="str">
        <f>IF(検体毎項目情報!A42="","",検体毎項目情報!A42)</f>
        <v/>
      </c>
      <c r="AT41" s="12" t="str">
        <f>IF(検体毎項目情報!B42="","",検体毎項目情報!B42)</f>
        <v/>
      </c>
      <c r="AU41" s="12" t="str">
        <f>IF(検体毎項目情報!C42="","",検体毎項目情報!C42)</f>
        <v/>
      </c>
      <c r="AV41" s="12" t="str">
        <f>IF(検体毎項目情報!D42="","",検体毎項目情報!D42)</f>
        <v/>
      </c>
      <c r="AW41" s="12" t="str">
        <f>IF(検体毎項目情報!E42="","",検体毎項目情報!E42)</f>
        <v/>
      </c>
      <c r="AX41" s="12" t="str">
        <f>IF(検体毎項目情報!F42="","",検体毎項目情報!F42)</f>
        <v/>
      </c>
      <c r="AY41" s="12" t="str">
        <f>IF(検体毎項目情報!G42="","",検体毎項目情報!G42)</f>
        <v/>
      </c>
      <c r="AZ41" s="12" t="str">
        <f>IF(検体毎項目情報!H42="","",検体毎項目情報!H42)</f>
        <v/>
      </c>
      <c r="BA41" s="12" t="str">
        <f>IF(検体毎項目情報!I42="","",検体毎項目情報!I42)</f>
        <v/>
      </c>
      <c r="BB41" s="12" t="str">
        <f>IF(検体毎項目情報!J42="","",検体毎項目情報!J42)</f>
        <v/>
      </c>
      <c r="BC41" s="12" t="str">
        <f>IF(検体毎項目情報!K42="","",検体毎項目情報!K42)</f>
        <v/>
      </c>
      <c r="BD41" s="12" t="str">
        <f>IF(検体毎項目情報!L42="","",検体毎項目情報!L42)</f>
        <v/>
      </c>
      <c r="BE41" s="12" t="str">
        <f>IF(検体毎項目情報!M42="","",検体毎項目情報!M42)</f>
        <v/>
      </c>
      <c r="BF41" s="12" t="str">
        <f>IF(検体毎項目情報!N42="","",検体毎項目情報!N42)</f>
        <v/>
      </c>
      <c r="BG41" s="12" t="str">
        <f>IF(検体毎項目情報!O42="","",検体毎項目情報!O42)</f>
        <v/>
      </c>
      <c r="BH41" s="12" t="str">
        <f>IF(検体毎項目情報!P42="","",検体毎項目情報!P42)</f>
        <v/>
      </c>
      <c r="BI41" s="12" t="str">
        <f>IF(検体毎項目情報!Q42="","",検体毎項目情報!Q42)</f>
        <v/>
      </c>
      <c r="BJ41" s="12" t="str">
        <f>IF(検体毎項目情報!R42="","",検体毎項目情報!R42)</f>
        <v/>
      </c>
      <c r="BK41" s="12" t="str">
        <f>IF(検体毎項目情報!S42="","",検体毎項目情報!S42)</f>
        <v/>
      </c>
      <c r="BL41" s="12" t="str">
        <f>IF(検体毎項目情報!T42="","",検体毎項目情報!T42)</f>
        <v/>
      </c>
      <c r="BM41" s="12" t="str">
        <f>IF(検体毎項目情報!U42="","",検体毎項目情報!U42)</f>
        <v/>
      </c>
      <c r="BN41" s="12" t="str">
        <f>IF(検体毎項目情報!V42="","",検体毎項目情報!V42)</f>
        <v/>
      </c>
      <c r="BO41" s="12" t="str">
        <f>IF(検体毎項目情報!W42="","",検体毎項目情報!W42)</f>
        <v/>
      </c>
      <c r="BP41" s="12" t="str">
        <f>IF(検体毎項目情報!X42="","",検体毎項目情報!X42)</f>
        <v/>
      </c>
    </row>
    <row r="42" spans="44:68">
      <c r="AR42" s="32" t="str">
        <f>IF(AS42="","",COUNTIF(費用項目一覧!A:A,判定詳細!AU42))</f>
        <v/>
      </c>
      <c r="AS42" s="12" t="str">
        <f>IF(検体毎項目情報!A43="","",検体毎項目情報!A43)</f>
        <v/>
      </c>
      <c r="AT42" s="12" t="str">
        <f>IF(検体毎項目情報!B43="","",検体毎項目情報!B43)</f>
        <v/>
      </c>
      <c r="AU42" s="12" t="str">
        <f>IF(検体毎項目情報!C43="","",検体毎項目情報!C43)</f>
        <v/>
      </c>
      <c r="AV42" s="12" t="str">
        <f>IF(検体毎項目情報!D43="","",検体毎項目情報!D43)</f>
        <v/>
      </c>
      <c r="AW42" s="12" t="str">
        <f>IF(検体毎項目情報!E43="","",検体毎項目情報!E43)</f>
        <v/>
      </c>
      <c r="AX42" s="12" t="str">
        <f>IF(検体毎項目情報!F43="","",検体毎項目情報!F43)</f>
        <v/>
      </c>
      <c r="AY42" s="12" t="str">
        <f>IF(検体毎項目情報!G43="","",検体毎項目情報!G43)</f>
        <v/>
      </c>
      <c r="AZ42" s="12" t="str">
        <f>IF(検体毎項目情報!H43="","",検体毎項目情報!H43)</f>
        <v/>
      </c>
      <c r="BA42" s="12" t="str">
        <f>IF(検体毎項目情報!I43="","",検体毎項目情報!I43)</f>
        <v/>
      </c>
      <c r="BB42" s="12" t="str">
        <f>IF(検体毎項目情報!J43="","",検体毎項目情報!J43)</f>
        <v/>
      </c>
      <c r="BC42" s="12" t="str">
        <f>IF(検体毎項目情報!K43="","",検体毎項目情報!K43)</f>
        <v/>
      </c>
      <c r="BD42" s="12" t="str">
        <f>IF(検体毎項目情報!L43="","",検体毎項目情報!L43)</f>
        <v/>
      </c>
      <c r="BE42" s="12" t="str">
        <f>IF(検体毎項目情報!M43="","",検体毎項目情報!M43)</f>
        <v/>
      </c>
      <c r="BF42" s="12" t="str">
        <f>IF(検体毎項目情報!N43="","",検体毎項目情報!N43)</f>
        <v/>
      </c>
      <c r="BG42" s="12" t="str">
        <f>IF(検体毎項目情報!O43="","",検体毎項目情報!O43)</f>
        <v/>
      </c>
      <c r="BH42" s="12" t="str">
        <f>IF(検体毎項目情報!P43="","",検体毎項目情報!P43)</f>
        <v/>
      </c>
      <c r="BI42" s="12" t="str">
        <f>IF(検体毎項目情報!Q43="","",検体毎項目情報!Q43)</f>
        <v/>
      </c>
      <c r="BJ42" s="12" t="str">
        <f>IF(検体毎項目情報!R43="","",検体毎項目情報!R43)</f>
        <v/>
      </c>
      <c r="BK42" s="12" t="str">
        <f>IF(検体毎項目情報!S43="","",検体毎項目情報!S43)</f>
        <v/>
      </c>
      <c r="BL42" s="12" t="str">
        <f>IF(検体毎項目情報!T43="","",検体毎項目情報!T43)</f>
        <v/>
      </c>
      <c r="BM42" s="12" t="str">
        <f>IF(検体毎項目情報!U43="","",検体毎項目情報!U43)</f>
        <v/>
      </c>
      <c r="BN42" s="12" t="str">
        <f>IF(検体毎項目情報!V43="","",検体毎項目情報!V43)</f>
        <v/>
      </c>
      <c r="BO42" s="12" t="str">
        <f>IF(検体毎項目情報!W43="","",検体毎項目情報!W43)</f>
        <v/>
      </c>
      <c r="BP42" s="12" t="str">
        <f>IF(検体毎項目情報!X43="","",検体毎項目情報!X43)</f>
        <v/>
      </c>
    </row>
    <row r="43" spans="44:68">
      <c r="AR43" s="32" t="str">
        <f>IF(AS43="","",COUNTIF(費用項目一覧!A:A,判定詳細!AU43))</f>
        <v/>
      </c>
      <c r="AS43" s="12" t="str">
        <f>IF(検体毎項目情報!A44="","",検体毎項目情報!A44)</f>
        <v/>
      </c>
      <c r="AT43" s="12" t="str">
        <f>IF(検体毎項目情報!B44="","",検体毎項目情報!B44)</f>
        <v/>
      </c>
      <c r="AU43" s="12" t="str">
        <f>IF(検体毎項目情報!C44="","",検体毎項目情報!C44)</f>
        <v/>
      </c>
      <c r="AV43" s="12" t="str">
        <f>IF(検体毎項目情報!D44="","",検体毎項目情報!D44)</f>
        <v/>
      </c>
      <c r="AW43" s="12" t="str">
        <f>IF(検体毎項目情報!E44="","",検体毎項目情報!E44)</f>
        <v/>
      </c>
      <c r="AX43" s="12" t="str">
        <f>IF(検体毎項目情報!F44="","",検体毎項目情報!F44)</f>
        <v/>
      </c>
      <c r="AY43" s="12" t="str">
        <f>IF(検体毎項目情報!G44="","",検体毎項目情報!G44)</f>
        <v/>
      </c>
      <c r="AZ43" s="12" t="str">
        <f>IF(検体毎項目情報!H44="","",検体毎項目情報!H44)</f>
        <v/>
      </c>
      <c r="BA43" s="12" t="str">
        <f>IF(検体毎項目情報!I44="","",検体毎項目情報!I44)</f>
        <v/>
      </c>
      <c r="BB43" s="12" t="str">
        <f>IF(検体毎項目情報!J44="","",検体毎項目情報!J44)</f>
        <v/>
      </c>
      <c r="BC43" s="12" t="str">
        <f>IF(検体毎項目情報!K44="","",検体毎項目情報!K44)</f>
        <v/>
      </c>
      <c r="BD43" s="12" t="str">
        <f>IF(検体毎項目情報!L44="","",検体毎項目情報!L44)</f>
        <v/>
      </c>
      <c r="BE43" s="12" t="str">
        <f>IF(検体毎項目情報!M44="","",検体毎項目情報!M44)</f>
        <v/>
      </c>
      <c r="BF43" s="12" t="str">
        <f>IF(検体毎項目情報!N44="","",検体毎項目情報!N44)</f>
        <v/>
      </c>
      <c r="BG43" s="12" t="str">
        <f>IF(検体毎項目情報!O44="","",検体毎項目情報!O44)</f>
        <v/>
      </c>
      <c r="BH43" s="12" t="str">
        <f>IF(検体毎項目情報!P44="","",検体毎項目情報!P44)</f>
        <v/>
      </c>
      <c r="BI43" s="12" t="str">
        <f>IF(検体毎項目情報!Q44="","",検体毎項目情報!Q44)</f>
        <v/>
      </c>
      <c r="BJ43" s="12" t="str">
        <f>IF(検体毎項目情報!R44="","",検体毎項目情報!R44)</f>
        <v/>
      </c>
      <c r="BK43" s="12" t="str">
        <f>IF(検体毎項目情報!S44="","",検体毎項目情報!S44)</f>
        <v/>
      </c>
      <c r="BL43" s="12" t="str">
        <f>IF(検体毎項目情報!T44="","",検体毎項目情報!T44)</f>
        <v/>
      </c>
      <c r="BM43" s="12" t="str">
        <f>IF(検体毎項目情報!U44="","",検体毎項目情報!U44)</f>
        <v/>
      </c>
      <c r="BN43" s="12" t="str">
        <f>IF(検体毎項目情報!V44="","",検体毎項目情報!V44)</f>
        <v/>
      </c>
      <c r="BO43" s="12" t="str">
        <f>IF(検体毎項目情報!W44="","",検体毎項目情報!W44)</f>
        <v/>
      </c>
      <c r="BP43" s="12" t="str">
        <f>IF(検体毎項目情報!X44="","",検体毎項目情報!X44)</f>
        <v/>
      </c>
    </row>
    <row r="44" spans="44:68">
      <c r="AR44" s="32" t="str">
        <f>IF(AS44="","",COUNTIF(費用項目一覧!A:A,判定詳細!AU44))</f>
        <v/>
      </c>
      <c r="AS44" s="12" t="str">
        <f>IF(検体毎項目情報!A45="","",検体毎項目情報!A45)</f>
        <v/>
      </c>
      <c r="AT44" s="12" t="str">
        <f>IF(検体毎項目情報!B45="","",検体毎項目情報!B45)</f>
        <v/>
      </c>
      <c r="AU44" s="12" t="str">
        <f>IF(検体毎項目情報!C45="","",検体毎項目情報!C45)</f>
        <v/>
      </c>
      <c r="AV44" s="12" t="str">
        <f>IF(検体毎項目情報!D45="","",検体毎項目情報!D45)</f>
        <v/>
      </c>
      <c r="AW44" s="12" t="str">
        <f>IF(検体毎項目情報!E45="","",検体毎項目情報!E45)</f>
        <v/>
      </c>
      <c r="AX44" s="12" t="str">
        <f>IF(検体毎項目情報!F45="","",検体毎項目情報!F45)</f>
        <v/>
      </c>
      <c r="AY44" s="12" t="str">
        <f>IF(検体毎項目情報!G45="","",検体毎項目情報!G45)</f>
        <v/>
      </c>
      <c r="AZ44" s="12" t="str">
        <f>IF(検体毎項目情報!H45="","",検体毎項目情報!H45)</f>
        <v/>
      </c>
      <c r="BA44" s="12" t="str">
        <f>IF(検体毎項目情報!I45="","",検体毎項目情報!I45)</f>
        <v/>
      </c>
      <c r="BB44" s="12" t="str">
        <f>IF(検体毎項目情報!J45="","",検体毎項目情報!J45)</f>
        <v/>
      </c>
      <c r="BC44" s="12" t="str">
        <f>IF(検体毎項目情報!K45="","",検体毎項目情報!K45)</f>
        <v/>
      </c>
      <c r="BD44" s="12" t="str">
        <f>IF(検体毎項目情報!L45="","",検体毎項目情報!L45)</f>
        <v/>
      </c>
      <c r="BE44" s="12" t="str">
        <f>IF(検体毎項目情報!M45="","",検体毎項目情報!M45)</f>
        <v/>
      </c>
      <c r="BF44" s="12" t="str">
        <f>IF(検体毎項目情報!N45="","",検体毎項目情報!N45)</f>
        <v/>
      </c>
      <c r="BG44" s="12" t="str">
        <f>IF(検体毎項目情報!O45="","",検体毎項目情報!O45)</f>
        <v/>
      </c>
      <c r="BH44" s="12" t="str">
        <f>IF(検体毎項目情報!P45="","",検体毎項目情報!P45)</f>
        <v/>
      </c>
      <c r="BI44" s="12" t="str">
        <f>IF(検体毎項目情報!Q45="","",検体毎項目情報!Q45)</f>
        <v/>
      </c>
      <c r="BJ44" s="12" t="str">
        <f>IF(検体毎項目情報!R45="","",検体毎項目情報!R45)</f>
        <v/>
      </c>
      <c r="BK44" s="12" t="str">
        <f>IF(検体毎項目情報!S45="","",検体毎項目情報!S45)</f>
        <v/>
      </c>
      <c r="BL44" s="12" t="str">
        <f>IF(検体毎項目情報!T45="","",検体毎項目情報!T45)</f>
        <v/>
      </c>
      <c r="BM44" s="12" t="str">
        <f>IF(検体毎項目情報!U45="","",検体毎項目情報!U45)</f>
        <v/>
      </c>
      <c r="BN44" s="12" t="str">
        <f>IF(検体毎項目情報!V45="","",検体毎項目情報!V45)</f>
        <v/>
      </c>
      <c r="BO44" s="12" t="str">
        <f>IF(検体毎項目情報!W45="","",検体毎項目情報!W45)</f>
        <v/>
      </c>
      <c r="BP44" s="12" t="str">
        <f>IF(検体毎項目情報!X45="","",検体毎項目情報!X45)</f>
        <v/>
      </c>
    </row>
    <row r="45" spans="44:68">
      <c r="AR45" s="32" t="str">
        <f>IF(AS45="","",COUNTIF(費用項目一覧!A:A,判定詳細!AU45))</f>
        <v/>
      </c>
      <c r="AS45" s="12" t="str">
        <f>IF(検体毎項目情報!A46="","",検体毎項目情報!A46)</f>
        <v/>
      </c>
      <c r="AT45" s="12" t="str">
        <f>IF(検体毎項目情報!B46="","",検体毎項目情報!B46)</f>
        <v/>
      </c>
      <c r="AU45" s="12" t="str">
        <f>IF(検体毎項目情報!C46="","",検体毎項目情報!C46)</f>
        <v/>
      </c>
      <c r="AV45" s="12" t="str">
        <f>IF(検体毎項目情報!D46="","",検体毎項目情報!D46)</f>
        <v/>
      </c>
      <c r="AW45" s="12" t="str">
        <f>IF(検体毎項目情報!E46="","",検体毎項目情報!E46)</f>
        <v/>
      </c>
      <c r="AX45" s="12" t="str">
        <f>IF(検体毎項目情報!F46="","",検体毎項目情報!F46)</f>
        <v/>
      </c>
      <c r="AY45" s="12" t="str">
        <f>IF(検体毎項目情報!G46="","",検体毎項目情報!G46)</f>
        <v/>
      </c>
      <c r="AZ45" s="12" t="str">
        <f>IF(検体毎項目情報!H46="","",検体毎項目情報!H46)</f>
        <v/>
      </c>
      <c r="BA45" s="12" t="str">
        <f>IF(検体毎項目情報!I46="","",検体毎項目情報!I46)</f>
        <v/>
      </c>
      <c r="BB45" s="12" t="str">
        <f>IF(検体毎項目情報!J46="","",検体毎項目情報!J46)</f>
        <v/>
      </c>
      <c r="BC45" s="12" t="str">
        <f>IF(検体毎項目情報!K46="","",検体毎項目情報!K46)</f>
        <v/>
      </c>
      <c r="BD45" s="12" t="str">
        <f>IF(検体毎項目情報!L46="","",検体毎項目情報!L46)</f>
        <v/>
      </c>
      <c r="BE45" s="12" t="str">
        <f>IF(検体毎項目情報!M46="","",検体毎項目情報!M46)</f>
        <v/>
      </c>
      <c r="BF45" s="12" t="str">
        <f>IF(検体毎項目情報!N46="","",検体毎項目情報!N46)</f>
        <v/>
      </c>
      <c r="BG45" s="12" t="str">
        <f>IF(検体毎項目情報!O46="","",検体毎項目情報!O46)</f>
        <v/>
      </c>
      <c r="BH45" s="12" t="str">
        <f>IF(検体毎項目情報!P46="","",検体毎項目情報!P46)</f>
        <v/>
      </c>
      <c r="BI45" s="12" t="str">
        <f>IF(検体毎項目情報!Q46="","",検体毎項目情報!Q46)</f>
        <v/>
      </c>
      <c r="BJ45" s="12" t="str">
        <f>IF(検体毎項目情報!R46="","",検体毎項目情報!R46)</f>
        <v/>
      </c>
      <c r="BK45" s="12" t="str">
        <f>IF(検体毎項目情報!S46="","",検体毎項目情報!S46)</f>
        <v/>
      </c>
      <c r="BL45" s="12" t="str">
        <f>IF(検体毎項目情報!T46="","",検体毎項目情報!T46)</f>
        <v/>
      </c>
      <c r="BM45" s="12" t="str">
        <f>IF(検体毎項目情報!U46="","",検体毎項目情報!U46)</f>
        <v/>
      </c>
      <c r="BN45" s="12" t="str">
        <f>IF(検体毎項目情報!V46="","",検体毎項目情報!V46)</f>
        <v/>
      </c>
      <c r="BO45" s="12" t="str">
        <f>IF(検体毎項目情報!W46="","",検体毎項目情報!W46)</f>
        <v/>
      </c>
      <c r="BP45" s="12" t="str">
        <f>IF(検体毎項目情報!X46="","",検体毎項目情報!X46)</f>
        <v/>
      </c>
    </row>
    <row r="46" spans="44:68">
      <c r="AR46" s="32" t="str">
        <f>IF(AS46="","",COUNTIF(費用項目一覧!A:A,判定詳細!AU46))</f>
        <v/>
      </c>
      <c r="AS46" s="12" t="str">
        <f>IF(検体毎項目情報!A47="","",検体毎項目情報!A47)</f>
        <v/>
      </c>
      <c r="AT46" s="12" t="str">
        <f>IF(検体毎項目情報!B47="","",検体毎項目情報!B47)</f>
        <v/>
      </c>
      <c r="AU46" s="12" t="str">
        <f>IF(検体毎項目情報!C47="","",検体毎項目情報!C47)</f>
        <v/>
      </c>
      <c r="AV46" s="12" t="str">
        <f>IF(検体毎項目情報!D47="","",検体毎項目情報!D47)</f>
        <v/>
      </c>
      <c r="AW46" s="12" t="str">
        <f>IF(検体毎項目情報!E47="","",検体毎項目情報!E47)</f>
        <v/>
      </c>
      <c r="AX46" s="12" t="str">
        <f>IF(検体毎項目情報!F47="","",検体毎項目情報!F47)</f>
        <v/>
      </c>
      <c r="AY46" s="12" t="str">
        <f>IF(検体毎項目情報!G47="","",検体毎項目情報!G47)</f>
        <v/>
      </c>
      <c r="AZ46" s="12" t="str">
        <f>IF(検体毎項目情報!H47="","",検体毎項目情報!H47)</f>
        <v/>
      </c>
      <c r="BA46" s="12" t="str">
        <f>IF(検体毎項目情報!I47="","",検体毎項目情報!I47)</f>
        <v/>
      </c>
      <c r="BB46" s="12" t="str">
        <f>IF(検体毎項目情報!J47="","",検体毎項目情報!J47)</f>
        <v/>
      </c>
      <c r="BC46" s="12" t="str">
        <f>IF(検体毎項目情報!K47="","",検体毎項目情報!K47)</f>
        <v/>
      </c>
      <c r="BD46" s="12" t="str">
        <f>IF(検体毎項目情報!L47="","",検体毎項目情報!L47)</f>
        <v/>
      </c>
      <c r="BE46" s="12" t="str">
        <f>IF(検体毎項目情報!M47="","",検体毎項目情報!M47)</f>
        <v/>
      </c>
      <c r="BF46" s="12" t="str">
        <f>IF(検体毎項目情報!N47="","",検体毎項目情報!N47)</f>
        <v/>
      </c>
      <c r="BG46" s="12" t="str">
        <f>IF(検体毎項目情報!O47="","",検体毎項目情報!O47)</f>
        <v/>
      </c>
      <c r="BH46" s="12" t="str">
        <f>IF(検体毎項目情報!P47="","",検体毎項目情報!P47)</f>
        <v/>
      </c>
      <c r="BI46" s="12" t="str">
        <f>IF(検体毎項目情報!Q47="","",検体毎項目情報!Q47)</f>
        <v/>
      </c>
      <c r="BJ46" s="12" t="str">
        <f>IF(検体毎項目情報!R47="","",検体毎項目情報!R47)</f>
        <v/>
      </c>
      <c r="BK46" s="12" t="str">
        <f>IF(検体毎項目情報!S47="","",検体毎項目情報!S47)</f>
        <v/>
      </c>
      <c r="BL46" s="12" t="str">
        <f>IF(検体毎項目情報!T47="","",検体毎項目情報!T47)</f>
        <v/>
      </c>
      <c r="BM46" s="12" t="str">
        <f>IF(検体毎項目情報!U47="","",検体毎項目情報!U47)</f>
        <v/>
      </c>
      <c r="BN46" s="12" t="str">
        <f>IF(検体毎項目情報!V47="","",検体毎項目情報!V47)</f>
        <v/>
      </c>
      <c r="BO46" s="12" t="str">
        <f>IF(検体毎項目情報!W47="","",検体毎項目情報!W47)</f>
        <v/>
      </c>
      <c r="BP46" s="12" t="str">
        <f>IF(検体毎項目情報!X47="","",検体毎項目情報!X47)</f>
        <v/>
      </c>
    </row>
    <row r="47" spans="44:68">
      <c r="AR47" s="32" t="str">
        <f>IF(AS47="","",COUNTIF(費用項目一覧!A:A,判定詳細!AU47))</f>
        <v/>
      </c>
      <c r="AS47" s="12" t="str">
        <f>IF(検体毎項目情報!A48="","",検体毎項目情報!A48)</f>
        <v/>
      </c>
      <c r="AT47" s="12" t="str">
        <f>IF(検体毎項目情報!B48="","",検体毎項目情報!B48)</f>
        <v/>
      </c>
      <c r="AU47" s="12" t="str">
        <f>IF(検体毎項目情報!C48="","",検体毎項目情報!C48)</f>
        <v/>
      </c>
      <c r="AV47" s="12" t="str">
        <f>IF(検体毎項目情報!D48="","",検体毎項目情報!D48)</f>
        <v/>
      </c>
      <c r="AW47" s="12" t="str">
        <f>IF(検体毎項目情報!E48="","",検体毎項目情報!E48)</f>
        <v/>
      </c>
      <c r="AX47" s="12" t="str">
        <f>IF(検体毎項目情報!F48="","",検体毎項目情報!F48)</f>
        <v/>
      </c>
      <c r="AY47" s="12" t="str">
        <f>IF(検体毎項目情報!G48="","",検体毎項目情報!G48)</f>
        <v/>
      </c>
      <c r="AZ47" s="12" t="str">
        <f>IF(検体毎項目情報!H48="","",検体毎項目情報!H48)</f>
        <v/>
      </c>
      <c r="BA47" s="12" t="str">
        <f>IF(検体毎項目情報!I48="","",検体毎項目情報!I48)</f>
        <v/>
      </c>
      <c r="BB47" s="12" t="str">
        <f>IF(検体毎項目情報!J48="","",検体毎項目情報!J48)</f>
        <v/>
      </c>
      <c r="BC47" s="12" t="str">
        <f>IF(検体毎項目情報!K48="","",検体毎項目情報!K48)</f>
        <v/>
      </c>
      <c r="BD47" s="12" t="str">
        <f>IF(検体毎項目情報!L48="","",検体毎項目情報!L48)</f>
        <v/>
      </c>
      <c r="BE47" s="12" t="str">
        <f>IF(検体毎項目情報!M48="","",検体毎項目情報!M48)</f>
        <v/>
      </c>
      <c r="BF47" s="12" t="str">
        <f>IF(検体毎項目情報!N48="","",検体毎項目情報!N48)</f>
        <v/>
      </c>
      <c r="BG47" s="12" t="str">
        <f>IF(検体毎項目情報!O48="","",検体毎項目情報!O48)</f>
        <v/>
      </c>
      <c r="BH47" s="12" t="str">
        <f>IF(検体毎項目情報!P48="","",検体毎項目情報!P48)</f>
        <v/>
      </c>
      <c r="BI47" s="12" t="str">
        <f>IF(検体毎項目情報!Q48="","",検体毎項目情報!Q48)</f>
        <v/>
      </c>
      <c r="BJ47" s="12" t="str">
        <f>IF(検体毎項目情報!R48="","",検体毎項目情報!R48)</f>
        <v/>
      </c>
      <c r="BK47" s="12" t="str">
        <f>IF(検体毎項目情報!S48="","",検体毎項目情報!S48)</f>
        <v/>
      </c>
      <c r="BL47" s="12" t="str">
        <f>IF(検体毎項目情報!T48="","",検体毎項目情報!T48)</f>
        <v/>
      </c>
      <c r="BM47" s="12" t="str">
        <f>IF(検体毎項目情報!U48="","",検体毎項目情報!U48)</f>
        <v/>
      </c>
      <c r="BN47" s="12" t="str">
        <f>IF(検体毎項目情報!V48="","",検体毎項目情報!V48)</f>
        <v/>
      </c>
      <c r="BO47" s="12" t="str">
        <f>IF(検体毎項目情報!W48="","",検体毎項目情報!W48)</f>
        <v/>
      </c>
      <c r="BP47" s="12" t="str">
        <f>IF(検体毎項目情報!X48="","",検体毎項目情報!X48)</f>
        <v/>
      </c>
    </row>
    <row r="48" spans="44:68">
      <c r="AR48" s="32" t="str">
        <f>IF(AS48="","",COUNTIF(費用項目一覧!A:A,判定詳細!AU48))</f>
        <v/>
      </c>
      <c r="AS48" s="12" t="str">
        <f>IF(検体毎項目情報!A49="","",検体毎項目情報!A49)</f>
        <v/>
      </c>
      <c r="AT48" s="12" t="str">
        <f>IF(検体毎項目情報!B49="","",検体毎項目情報!B49)</f>
        <v/>
      </c>
      <c r="AU48" s="12" t="str">
        <f>IF(検体毎項目情報!C49="","",検体毎項目情報!C49)</f>
        <v/>
      </c>
      <c r="AV48" s="12" t="str">
        <f>IF(検体毎項目情報!D49="","",検体毎項目情報!D49)</f>
        <v/>
      </c>
      <c r="AW48" s="12" t="str">
        <f>IF(検体毎項目情報!E49="","",検体毎項目情報!E49)</f>
        <v/>
      </c>
      <c r="AX48" s="12" t="str">
        <f>IF(検体毎項目情報!F49="","",検体毎項目情報!F49)</f>
        <v/>
      </c>
      <c r="AY48" s="12" t="str">
        <f>IF(検体毎項目情報!G49="","",検体毎項目情報!G49)</f>
        <v/>
      </c>
      <c r="AZ48" s="12" t="str">
        <f>IF(検体毎項目情報!H49="","",検体毎項目情報!H49)</f>
        <v/>
      </c>
      <c r="BA48" s="12" t="str">
        <f>IF(検体毎項目情報!I49="","",検体毎項目情報!I49)</f>
        <v/>
      </c>
      <c r="BB48" s="12" t="str">
        <f>IF(検体毎項目情報!J49="","",検体毎項目情報!J49)</f>
        <v/>
      </c>
      <c r="BC48" s="12" t="str">
        <f>IF(検体毎項目情報!K49="","",検体毎項目情報!K49)</f>
        <v/>
      </c>
      <c r="BD48" s="12" t="str">
        <f>IF(検体毎項目情報!L49="","",検体毎項目情報!L49)</f>
        <v/>
      </c>
      <c r="BE48" s="12" t="str">
        <f>IF(検体毎項目情報!M49="","",検体毎項目情報!M49)</f>
        <v/>
      </c>
      <c r="BF48" s="12" t="str">
        <f>IF(検体毎項目情報!N49="","",検体毎項目情報!N49)</f>
        <v/>
      </c>
      <c r="BG48" s="12" t="str">
        <f>IF(検体毎項目情報!O49="","",検体毎項目情報!O49)</f>
        <v/>
      </c>
      <c r="BH48" s="12" t="str">
        <f>IF(検体毎項目情報!P49="","",検体毎項目情報!P49)</f>
        <v/>
      </c>
      <c r="BI48" s="12" t="str">
        <f>IF(検体毎項目情報!Q49="","",検体毎項目情報!Q49)</f>
        <v/>
      </c>
      <c r="BJ48" s="12" t="str">
        <f>IF(検体毎項目情報!R49="","",検体毎項目情報!R49)</f>
        <v/>
      </c>
      <c r="BK48" s="12" t="str">
        <f>IF(検体毎項目情報!S49="","",検体毎項目情報!S49)</f>
        <v/>
      </c>
      <c r="BL48" s="12" t="str">
        <f>IF(検体毎項目情報!T49="","",検体毎項目情報!T49)</f>
        <v/>
      </c>
      <c r="BM48" s="12" t="str">
        <f>IF(検体毎項目情報!U49="","",検体毎項目情報!U49)</f>
        <v/>
      </c>
      <c r="BN48" s="12" t="str">
        <f>IF(検体毎項目情報!V49="","",検体毎項目情報!V49)</f>
        <v/>
      </c>
      <c r="BO48" s="12" t="str">
        <f>IF(検体毎項目情報!W49="","",検体毎項目情報!W49)</f>
        <v/>
      </c>
      <c r="BP48" s="12" t="str">
        <f>IF(検体毎項目情報!X49="","",検体毎項目情報!X49)</f>
        <v/>
      </c>
    </row>
    <row r="49" spans="44:68">
      <c r="AR49" s="32" t="str">
        <f>IF(AS49="","",COUNTIF(費用項目一覧!A:A,判定詳細!AU49))</f>
        <v/>
      </c>
      <c r="AS49" s="12" t="str">
        <f>IF(検体毎項目情報!A50="","",検体毎項目情報!A50)</f>
        <v/>
      </c>
      <c r="AT49" s="12" t="str">
        <f>IF(検体毎項目情報!B50="","",検体毎項目情報!B50)</f>
        <v/>
      </c>
      <c r="AU49" s="12" t="str">
        <f>IF(検体毎項目情報!C50="","",検体毎項目情報!C50)</f>
        <v/>
      </c>
      <c r="AV49" s="12" t="str">
        <f>IF(検体毎項目情報!D50="","",検体毎項目情報!D50)</f>
        <v/>
      </c>
      <c r="AW49" s="12" t="str">
        <f>IF(検体毎項目情報!E50="","",検体毎項目情報!E50)</f>
        <v/>
      </c>
      <c r="AX49" s="12" t="str">
        <f>IF(検体毎項目情報!F50="","",検体毎項目情報!F50)</f>
        <v/>
      </c>
      <c r="AY49" s="12" t="str">
        <f>IF(検体毎項目情報!G50="","",検体毎項目情報!G50)</f>
        <v/>
      </c>
      <c r="AZ49" s="12" t="str">
        <f>IF(検体毎項目情報!H50="","",検体毎項目情報!H50)</f>
        <v/>
      </c>
      <c r="BA49" s="12" t="str">
        <f>IF(検体毎項目情報!I50="","",検体毎項目情報!I50)</f>
        <v/>
      </c>
      <c r="BB49" s="12" t="str">
        <f>IF(検体毎項目情報!J50="","",検体毎項目情報!J50)</f>
        <v/>
      </c>
      <c r="BC49" s="12" t="str">
        <f>IF(検体毎項目情報!K50="","",検体毎項目情報!K50)</f>
        <v/>
      </c>
      <c r="BD49" s="12" t="str">
        <f>IF(検体毎項目情報!L50="","",検体毎項目情報!L50)</f>
        <v/>
      </c>
      <c r="BE49" s="12" t="str">
        <f>IF(検体毎項目情報!M50="","",検体毎項目情報!M50)</f>
        <v/>
      </c>
      <c r="BF49" s="12" t="str">
        <f>IF(検体毎項目情報!N50="","",検体毎項目情報!N50)</f>
        <v/>
      </c>
      <c r="BG49" s="12" t="str">
        <f>IF(検体毎項目情報!O50="","",検体毎項目情報!O50)</f>
        <v/>
      </c>
      <c r="BH49" s="12" t="str">
        <f>IF(検体毎項目情報!P50="","",検体毎項目情報!P50)</f>
        <v/>
      </c>
      <c r="BI49" s="12" t="str">
        <f>IF(検体毎項目情報!Q50="","",検体毎項目情報!Q50)</f>
        <v/>
      </c>
      <c r="BJ49" s="12" t="str">
        <f>IF(検体毎項目情報!R50="","",検体毎項目情報!R50)</f>
        <v/>
      </c>
      <c r="BK49" s="12" t="str">
        <f>IF(検体毎項目情報!S50="","",検体毎項目情報!S50)</f>
        <v/>
      </c>
      <c r="BL49" s="12" t="str">
        <f>IF(検体毎項目情報!T50="","",検体毎項目情報!T50)</f>
        <v/>
      </c>
      <c r="BM49" s="12" t="str">
        <f>IF(検体毎項目情報!U50="","",検体毎項目情報!U50)</f>
        <v/>
      </c>
      <c r="BN49" s="12" t="str">
        <f>IF(検体毎項目情報!V50="","",検体毎項目情報!V50)</f>
        <v/>
      </c>
      <c r="BO49" s="12" t="str">
        <f>IF(検体毎項目情報!W50="","",検体毎項目情報!W50)</f>
        <v/>
      </c>
      <c r="BP49" s="12" t="str">
        <f>IF(検体毎項目情報!X50="","",検体毎項目情報!X50)</f>
        <v/>
      </c>
    </row>
    <row r="50" spans="44:68">
      <c r="AR50" s="32" t="str">
        <f>IF(AS50="","",COUNTIF(費用項目一覧!A:A,判定詳細!AU50))</f>
        <v/>
      </c>
      <c r="AS50" s="12" t="str">
        <f>IF(検体毎項目情報!A51="","",検体毎項目情報!A51)</f>
        <v/>
      </c>
      <c r="AT50" s="12" t="str">
        <f>IF(検体毎項目情報!B51="","",検体毎項目情報!B51)</f>
        <v/>
      </c>
      <c r="AU50" s="12" t="str">
        <f>IF(検体毎項目情報!C51="","",検体毎項目情報!C51)</f>
        <v/>
      </c>
      <c r="AV50" s="12" t="str">
        <f>IF(検体毎項目情報!D51="","",検体毎項目情報!D51)</f>
        <v/>
      </c>
      <c r="AW50" s="12" t="str">
        <f>IF(検体毎項目情報!E51="","",検体毎項目情報!E51)</f>
        <v/>
      </c>
      <c r="AX50" s="12" t="str">
        <f>IF(検体毎項目情報!F51="","",検体毎項目情報!F51)</f>
        <v/>
      </c>
      <c r="AY50" s="12" t="str">
        <f>IF(検体毎項目情報!G51="","",検体毎項目情報!G51)</f>
        <v/>
      </c>
      <c r="AZ50" s="12" t="str">
        <f>IF(検体毎項目情報!H51="","",検体毎項目情報!H51)</f>
        <v/>
      </c>
      <c r="BA50" s="12" t="str">
        <f>IF(検体毎項目情報!I51="","",検体毎項目情報!I51)</f>
        <v/>
      </c>
      <c r="BB50" s="12" t="str">
        <f>IF(検体毎項目情報!J51="","",検体毎項目情報!J51)</f>
        <v/>
      </c>
      <c r="BC50" s="12" t="str">
        <f>IF(検体毎項目情報!K51="","",検体毎項目情報!K51)</f>
        <v/>
      </c>
      <c r="BD50" s="12" t="str">
        <f>IF(検体毎項目情報!L51="","",検体毎項目情報!L51)</f>
        <v/>
      </c>
      <c r="BE50" s="12" t="str">
        <f>IF(検体毎項目情報!M51="","",検体毎項目情報!M51)</f>
        <v/>
      </c>
      <c r="BF50" s="12" t="str">
        <f>IF(検体毎項目情報!N51="","",検体毎項目情報!N51)</f>
        <v/>
      </c>
      <c r="BG50" s="12" t="str">
        <f>IF(検体毎項目情報!O51="","",検体毎項目情報!O51)</f>
        <v/>
      </c>
      <c r="BH50" s="12" t="str">
        <f>IF(検体毎項目情報!P51="","",検体毎項目情報!P51)</f>
        <v/>
      </c>
      <c r="BI50" s="12" t="str">
        <f>IF(検体毎項目情報!Q51="","",検体毎項目情報!Q51)</f>
        <v/>
      </c>
      <c r="BJ50" s="12" t="str">
        <f>IF(検体毎項目情報!R51="","",検体毎項目情報!R51)</f>
        <v/>
      </c>
      <c r="BK50" s="12" t="str">
        <f>IF(検体毎項目情報!S51="","",検体毎項目情報!S51)</f>
        <v/>
      </c>
      <c r="BL50" s="12" t="str">
        <f>IF(検体毎項目情報!T51="","",検体毎項目情報!T51)</f>
        <v/>
      </c>
      <c r="BM50" s="12" t="str">
        <f>IF(検体毎項目情報!U51="","",検体毎項目情報!U51)</f>
        <v/>
      </c>
      <c r="BN50" s="12" t="str">
        <f>IF(検体毎項目情報!V51="","",検体毎項目情報!V51)</f>
        <v/>
      </c>
      <c r="BO50" s="12" t="str">
        <f>IF(検体毎項目情報!W51="","",検体毎項目情報!W51)</f>
        <v/>
      </c>
      <c r="BP50" s="12" t="str">
        <f>IF(検体毎項目情報!X51="","",検体毎項目情報!X51)</f>
        <v/>
      </c>
    </row>
    <row r="51" spans="44:68">
      <c r="AR51" s="32" t="str">
        <f>IF(AS51="","",COUNTIF(費用項目一覧!A:A,判定詳細!AU51))</f>
        <v/>
      </c>
      <c r="AS51" s="12" t="str">
        <f>IF(検体毎項目情報!A52="","",検体毎項目情報!A52)</f>
        <v/>
      </c>
      <c r="AT51" s="12" t="str">
        <f>IF(検体毎項目情報!B52="","",検体毎項目情報!B52)</f>
        <v/>
      </c>
      <c r="AU51" s="12" t="str">
        <f>IF(検体毎項目情報!C52="","",検体毎項目情報!C52)</f>
        <v/>
      </c>
      <c r="AV51" s="12" t="str">
        <f>IF(検体毎項目情報!D52="","",検体毎項目情報!D52)</f>
        <v/>
      </c>
      <c r="AW51" s="12" t="str">
        <f>IF(検体毎項目情報!E52="","",検体毎項目情報!E52)</f>
        <v/>
      </c>
      <c r="AX51" s="12" t="str">
        <f>IF(検体毎項目情報!F52="","",検体毎項目情報!F52)</f>
        <v/>
      </c>
      <c r="AY51" s="12" t="str">
        <f>IF(検体毎項目情報!G52="","",検体毎項目情報!G52)</f>
        <v/>
      </c>
      <c r="AZ51" s="12" t="str">
        <f>IF(検体毎項目情報!H52="","",検体毎項目情報!H52)</f>
        <v/>
      </c>
      <c r="BA51" s="12" t="str">
        <f>IF(検体毎項目情報!I52="","",検体毎項目情報!I52)</f>
        <v/>
      </c>
      <c r="BB51" s="12" t="str">
        <f>IF(検体毎項目情報!J52="","",検体毎項目情報!J52)</f>
        <v/>
      </c>
      <c r="BC51" s="12" t="str">
        <f>IF(検体毎項目情報!K52="","",検体毎項目情報!K52)</f>
        <v/>
      </c>
      <c r="BD51" s="12" t="str">
        <f>IF(検体毎項目情報!L52="","",検体毎項目情報!L52)</f>
        <v/>
      </c>
      <c r="BE51" s="12" t="str">
        <f>IF(検体毎項目情報!M52="","",検体毎項目情報!M52)</f>
        <v/>
      </c>
      <c r="BF51" s="12" t="str">
        <f>IF(検体毎項目情報!N52="","",検体毎項目情報!N52)</f>
        <v/>
      </c>
      <c r="BG51" s="12" t="str">
        <f>IF(検体毎項目情報!O52="","",検体毎項目情報!O52)</f>
        <v/>
      </c>
      <c r="BH51" s="12" t="str">
        <f>IF(検体毎項目情報!P52="","",検体毎項目情報!P52)</f>
        <v/>
      </c>
      <c r="BI51" s="12" t="str">
        <f>IF(検体毎項目情報!Q52="","",検体毎項目情報!Q52)</f>
        <v/>
      </c>
      <c r="BJ51" s="12" t="str">
        <f>IF(検体毎項目情報!R52="","",検体毎項目情報!R52)</f>
        <v/>
      </c>
      <c r="BK51" s="12" t="str">
        <f>IF(検体毎項目情報!S52="","",検体毎項目情報!S52)</f>
        <v/>
      </c>
      <c r="BL51" s="12" t="str">
        <f>IF(検体毎項目情報!T52="","",検体毎項目情報!T52)</f>
        <v/>
      </c>
      <c r="BM51" s="12" t="str">
        <f>IF(検体毎項目情報!U52="","",検体毎項目情報!U52)</f>
        <v/>
      </c>
      <c r="BN51" s="12" t="str">
        <f>IF(検体毎項目情報!V52="","",検体毎項目情報!V52)</f>
        <v/>
      </c>
      <c r="BO51" s="12" t="str">
        <f>IF(検体毎項目情報!W52="","",検体毎項目情報!W52)</f>
        <v/>
      </c>
      <c r="BP51" s="12" t="str">
        <f>IF(検体毎項目情報!X52="","",検体毎項目情報!X52)</f>
        <v/>
      </c>
    </row>
    <row r="52" spans="44:68">
      <c r="AR52" s="32" t="str">
        <f>IF(AS52="","",COUNTIF(費用項目一覧!A:A,判定詳細!AU52))</f>
        <v/>
      </c>
      <c r="AS52" s="12" t="str">
        <f>IF(検体毎項目情報!A53="","",検体毎項目情報!A53)</f>
        <v/>
      </c>
      <c r="AT52" s="12" t="str">
        <f>IF(検体毎項目情報!B53="","",検体毎項目情報!B53)</f>
        <v/>
      </c>
      <c r="AU52" s="12" t="str">
        <f>IF(検体毎項目情報!C53="","",検体毎項目情報!C53)</f>
        <v/>
      </c>
      <c r="AV52" s="12" t="str">
        <f>IF(検体毎項目情報!D53="","",検体毎項目情報!D53)</f>
        <v/>
      </c>
      <c r="AW52" s="12" t="str">
        <f>IF(検体毎項目情報!E53="","",検体毎項目情報!E53)</f>
        <v/>
      </c>
      <c r="AX52" s="12" t="str">
        <f>IF(検体毎項目情報!F53="","",検体毎項目情報!F53)</f>
        <v/>
      </c>
      <c r="AY52" s="12" t="str">
        <f>IF(検体毎項目情報!G53="","",検体毎項目情報!G53)</f>
        <v/>
      </c>
      <c r="AZ52" s="12" t="str">
        <f>IF(検体毎項目情報!H53="","",検体毎項目情報!H53)</f>
        <v/>
      </c>
      <c r="BA52" s="12" t="str">
        <f>IF(検体毎項目情報!I53="","",検体毎項目情報!I53)</f>
        <v/>
      </c>
      <c r="BB52" s="12" t="str">
        <f>IF(検体毎項目情報!J53="","",検体毎項目情報!J53)</f>
        <v/>
      </c>
      <c r="BC52" s="12" t="str">
        <f>IF(検体毎項目情報!K53="","",検体毎項目情報!K53)</f>
        <v/>
      </c>
      <c r="BD52" s="12" t="str">
        <f>IF(検体毎項目情報!L53="","",検体毎項目情報!L53)</f>
        <v/>
      </c>
      <c r="BE52" s="12" t="str">
        <f>IF(検体毎項目情報!M53="","",検体毎項目情報!M53)</f>
        <v/>
      </c>
      <c r="BF52" s="12" t="str">
        <f>IF(検体毎項目情報!N53="","",検体毎項目情報!N53)</f>
        <v/>
      </c>
      <c r="BG52" s="12" t="str">
        <f>IF(検体毎項目情報!O53="","",検体毎項目情報!O53)</f>
        <v/>
      </c>
      <c r="BH52" s="12" t="str">
        <f>IF(検体毎項目情報!P53="","",検体毎項目情報!P53)</f>
        <v/>
      </c>
      <c r="BI52" s="12" t="str">
        <f>IF(検体毎項目情報!Q53="","",検体毎項目情報!Q53)</f>
        <v/>
      </c>
      <c r="BJ52" s="12" t="str">
        <f>IF(検体毎項目情報!R53="","",検体毎項目情報!R53)</f>
        <v/>
      </c>
      <c r="BK52" s="12" t="str">
        <f>IF(検体毎項目情報!S53="","",検体毎項目情報!S53)</f>
        <v/>
      </c>
      <c r="BL52" s="12" t="str">
        <f>IF(検体毎項目情報!T53="","",検体毎項目情報!T53)</f>
        <v/>
      </c>
      <c r="BM52" s="12" t="str">
        <f>IF(検体毎項目情報!U53="","",検体毎項目情報!U53)</f>
        <v/>
      </c>
      <c r="BN52" s="12" t="str">
        <f>IF(検体毎項目情報!V53="","",検体毎項目情報!V53)</f>
        <v/>
      </c>
      <c r="BO52" s="12" t="str">
        <f>IF(検体毎項目情報!W53="","",検体毎項目情報!W53)</f>
        <v/>
      </c>
      <c r="BP52" s="12" t="str">
        <f>IF(検体毎項目情報!X53="","",検体毎項目情報!X53)</f>
        <v/>
      </c>
    </row>
    <row r="53" spans="44:68">
      <c r="AR53" s="32" t="str">
        <f>IF(AS53="","",COUNTIF(費用項目一覧!A:A,判定詳細!AU53))</f>
        <v/>
      </c>
      <c r="AS53" s="12" t="str">
        <f>IF(検体毎項目情報!A54="","",検体毎項目情報!A54)</f>
        <v/>
      </c>
      <c r="AT53" s="12" t="str">
        <f>IF(検体毎項目情報!B54="","",検体毎項目情報!B54)</f>
        <v/>
      </c>
      <c r="AU53" s="12" t="str">
        <f>IF(検体毎項目情報!C54="","",検体毎項目情報!C54)</f>
        <v/>
      </c>
      <c r="AV53" s="12" t="str">
        <f>IF(検体毎項目情報!D54="","",検体毎項目情報!D54)</f>
        <v/>
      </c>
      <c r="AW53" s="12" t="str">
        <f>IF(検体毎項目情報!E54="","",検体毎項目情報!E54)</f>
        <v/>
      </c>
      <c r="AX53" s="12" t="str">
        <f>IF(検体毎項目情報!F54="","",検体毎項目情報!F54)</f>
        <v/>
      </c>
      <c r="AY53" s="12" t="str">
        <f>IF(検体毎項目情報!G54="","",検体毎項目情報!G54)</f>
        <v/>
      </c>
      <c r="AZ53" s="12" t="str">
        <f>IF(検体毎項目情報!H54="","",検体毎項目情報!H54)</f>
        <v/>
      </c>
      <c r="BA53" s="12" t="str">
        <f>IF(検体毎項目情報!I54="","",検体毎項目情報!I54)</f>
        <v/>
      </c>
      <c r="BB53" s="12" t="str">
        <f>IF(検体毎項目情報!J54="","",検体毎項目情報!J54)</f>
        <v/>
      </c>
      <c r="BC53" s="12" t="str">
        <f>IF(検体毎項目情報!K54="","",検体毎項目情報!K54)</f>
        <v/>
      </c>
      <c r="BD53" s="12" t="str">
        <f>IF(検体毎項目情報!L54="","",検体毎項目情報!L54)</f>
        <v/>
      </c>
      <c r="BE53" s="12" t="str">
        <f>IF(検体毎項目情報!M54="","",検体毎項目情報!M54)</f>
        <v/>
      </c>
      <c r="BF53" s="12" t="str">
        <f>IF(検体毎項目情報!N54="","",検体毎項目情報!N54)</f>
        <v/>
      </c>
      <c r="BG53" s="12" t="str">
        <f>IF(検体毎項目情報!O54="","",検体毎項目情報!O54)</f>
        <v/>
      </c>
      <c r="BH53" s="12" t="str">
        <f>IF(検体毎項目情報!P54="","",検体毎項目情報!P54)</f>
        <v/>
      </c>
      <c r="BI53" s="12" t="str">
        <f>IF(検体毎項目情報!Q54="","",検体毎項目情報!Q54)</f>
        <v/>
      </c>
      <c r="BJ53" s="12" t="str">
        <f>IF(検体毎項目情報!R54="","",検体毎項目情報!R54)</f>
        <v/>
      </c>
      <c r="BK53" s="12" t="str">
        <f>IF(検体毎項目情報!S54="","",検体毎項目情報!S54)</f>
        <v/>
      </c>
      <c r="BL53" s="12" t="str">
        <f>IF(検体毎項目情報!T54="","",検体毎項目情報!T54)</f>
        <v/>
      </c>
      <c r="BM53" s="12" t="str">
        <f>IF(検体毎項目情報!U54="","",検体毎項目情報!U54)</f>
        <v/>
      </c>
      <c r="BN53" s="12" t="str">
        <f>IF(検体毎項目情報!V54="","",検体毎項目情報!V54)</f>
        <v/>
      </c>
      <c r="BO53" s="12" t="str">
        <f>IF(検体毎項目情報!W54="","",検体毎項目情報!W54)</f>
        <v/>
      </c>
      <c r="BP53" s="12" t="str">
        <f>IF(検体毎項目情報!X54="","",検体毎項目情報!X54)</f>
        <v/>
      </c>
    </row>
    <row r="54" spans="44:68">
      <c r="AR54" s="32" t="str">
        <f>IF(AS54="","",COUNTIF(費用項目一覧!A:A,判定詳細!AU54))</f>
        <v/>
      </c>
      <c r="AS54" s="12" t="str">
        <f>IF(検体毎項目情報!A55="","",検体毎項目情報!A55)</f>
        <v/>
      </c>
      <c r="AT54" s="12" t="str">
        <f>IF(検体毎項目情報!B55="","",検体毎項目情報!B55)</f>
        <v/>
      </c>
      <c r="AU54" s="12" t="str">
        <f>IF(検体毎項目情報!C55="","",検体毎項目情報!C55)</f>
        <v/>
      </c>
      <c r="AV54" s="12" t="str">
        <f>IF(検体毎項目情報!D55="","",検体毎項目情報!D55)</f>
        <v/>
      </c>
      <c r="AW54" s="12" t="str">
        <f>IF(検体毎項目情報!E55="","",検体毎項目情報!E55)</f>
        <v/>
      </c>
      <c r="AX54" s="12" t="str">
        <f>IF(検体毎項目情報!F55="","",検体毎項目情報!F55)</f>
        <v/>
      </c>
      <c r="AY54" s="12" t="str">
        <f>IF(検体毎項目情報!G55="","",検体毎項目情報!G55)</f>
        <v/>
      </c>
      <c r="AZ54" s="12" t="str">
        <f>IF(検体毎項目情報!H55="","",検体毎項目情報!H55)</f>
        <v/>
      </c>
      <c r="BA54" s="12" t="str">
        <f>IF(検体毎項目情報!I55="","",検体毎項目情報!I55)</f>
        <v/>
      </c>
      <c r="BB54" s="12" t="str">
        <f>IF(検体毎項目情報!J55="","",検体毎項目情報!J55)</f>
        <v/>
      </c>
      <c r="BC54" s="12" t="str">
        <f>IF(検体毎項目情報!K55="","",検体毎項目情報!K55)</f>
        <v/>
      </c>
      <c r="BD54" s="12" t="str">
        <f>IF(検体毎項目情報!L55="","",検体毎項目情報!L55)</f>
        <v/>
      </c>
      <c r="BE54" s="12" t="str">
        <f>IF(検体毎項目情報!M55="","",検体毎項目情報!M55)</f>
        <v/>
      </c>
      <c r="BF54" s="12" t="str">
        <f>IF(検体毎項目情報!N55="","",検体毎項目情報!N55)</f>
        <v/>
      </c>
      <c r="BG54" s="12" t="str">
        <f>IF(検体毎項目情報!O55="","",検体毎項目情報!O55)</f>
        <v/>
      </c>
      <c r="BH54" s="12" t="str">
        <f>IF(検体毎項目情報!P55="","",検体毎項目情報!P55)</f>
        <v/>
      </c>
      <c r="BI54" s="12" t="str">
        <f>IF(検体毎項目情報!Q55="","",検体毎項目情報!Q55)</f>
        <v/>
      </c>
      <c r="BJ54" s="12" t="str">
        <f>IF(検体毎項目情報!R55="","",検体毎項目情報!R55)</f>
        <v/>
      </c>
      <c r="BK54" s="12" t="str">
        <f>IF(検体毎項目情報!S55="","",検体毎項目情報!S55)</f>
        <v/>
      </c>
      <c r="BL54" s="12" t="str">
        <f>IF(検体毎項目情報!T55="","",検体毎項目情報!T55)</f>
        <v/>
      </c>
      <c r="BM54" s="12" t="str">
        <f>IF(検体毎項目情報!U55="","",検体毎項目情報!U55)</f>
        <v/>
      </c>
      <c r="BN54" s="12" t="str">
        <f>IF(検体毎項目情報!V55="","",検体毎項目情報!V55)</f>
        <v/>
      </c>
      <c r="BO54" s="12" t="str">
        <f>IF(検体毎項目情報!W55="","",検体毎項目情報!W55)</f>
        <v/>
      </c>
      <c r="BP54" s="12" t="str">
        <f>IF(検体毎項目情報!X55="","",検体毎項目情報!X55)</f>
        <v/>
      </c>
    </row>
    <row r="55" spans="44:68">
      <c r="AR55" s="32" t="str">
        <f>IF(AS55="","",COUNTIF(費用項目一覧!A:A,判定詳細!AU55))</f>
        <v/>
      </c>
      <c r="AS55" s="12" t="str">
        <f>IF(検体毎項目情報!A56="","",検体毎項目情報!A56)</f>
        <v/>
      </c>
      <c r="AT55" s="12" t="str">
        <f>IF(検体毎項目情報!B56="","",検体毎項目情報!B56)</f>
        <v/>
      </c>
      <c r="AU55" s="12" t="str">
        <f>IF(検体毎項目情報!C56="","",検体毎項目情報!C56)</f>
        <v/>
      </c>
      <c r="AV55" s="12" t="str">
        <f>IF(検体毎項目情報!D56="","",検体毎項目情報!D56)</f>
        <v/>
      </c>
      <c r="AW55" s="12" t="str">
        <f>IF(検体毎項目情報!E56="","",検体毎項目情報!E56)</f>
        <v/>
      </c>
      <c r="AX55" s="12" t="str">
        <f>IF(検体毎項目情報!F56="","",検体毎項目情報!F56)</f>
        <v/>
      </c>
      <c r="AY55" s="12" t="str">
        <f>IF(検体毎項目情報!G56="","",検体毎項目情報!G56)</f>
        <v/>
      </c>
      <c r="AZ55" s="12" t="str">
        <f>IF(検体毎項目情報!H56="","",検体毎項目情報!H56)</f>
        <v/>
      </c>
      <c r="BA55" s="12" t="str">
        <f>IF(検体毎項目情報!I56="","",検体毎項目情報!I56)</f>
        <v/>
      </c>
      <c r="BB55" s="12" t="str">
        <f>IF(検体毎項目情報!J56="","",検体毎項目情報!J56)</f>
        <v/>
      </c>
      <c r="BC55" s="12" t="str">
        <f>IF(検体毎項目情報!K56="","",検体毎項目情報!K56)</f>
        <v/>
      </c>
      <c r="BD55" s="12" t="str">
        <f>IF(検体毎項目情報!L56="","",検体毎項目情報!L56)</f>
        <v/>
      </c>
      <c r="BE55" s="12" t="str">
        <f>IF(検体毎項目情報!M56="","",検体毎項目情報!M56)</f>
        <v/>
      </c>
      <c r="BF55" s="12" t="str">
        <f>IF(検体毎項目情報!N56="","",検体毎項目情報!N56)</f>
        <v/>
      </c>
      <c r="BG55" s="12" t="str">
        <f>IF(検体毎項目情報!O56="","",検体毎項目情報!O56)</f>
        <v/>
      </c>
      <c r="BH55" s="12" t="str">
        <f>IF(検体毎項目情報!P56="","",検体毎項目情報!P56)</f>
        <v/>
      </c>
      <c r="BI55" s="12" t="str">
        <f>IF(検体毎項目情報!Q56="","",検体毎項目情報!Q56)</f>
        <v/>
      </c>
      <c r="BJ55" s="12" t="str">
        <f>IF(検体毎項目情報!R56="","",検体毎項目情報!R56)</f>
        <v/>
      </c>
      <c r="BK55" s="12" t="str">
        <f>IF(検体毎項目情報!S56="","",検体毎項目情報!S56)</f>
        <v/>
      </c>
      <c r="BL55" s="12" t="str">
        <f>IF(検体毎項目情報!T56="","",検体毎項目情報!T56)</f>
        <v/>
      </c>
      <c r="BM55" s="12" t="str">
        <f>IF(検体毎項目情報!U56="","",検体毎項目情報!U56)</f>
        <v/>
      </c>
      <c r="BN55" s="12" t="str">
        <f>IF(検体毎項目情報!V56="","",検体毎項目情報!V56)</f>
        <v/>
      </c>
      <c r="BO55" s="12" t="str">
        <f>IF(検体毎項目情報!W56="","",検体毎項目情報!W56)</f>
        <v/>
      </c>
      <c r="BP55" s="12" t="str">
        <f>IF(検体毎項目情報!X56="","",検体毎項目情報!X56)</f>
        <v/>
      </c>
    </row>
    <row r="56" spans="44:68">
      <c r="AR56" s="32" t="str">
        <f>IF(AS56="","",COUNTIF(費用項目一覧!A:A,判定詳細!AU56))</f>
        <v/>
      </c>
      <c r="AS56" s="12" t="str">
        <f>IF(検体毎項目情報!A57="","",検体毎項目情報!A57)</f>
        <v/>
      </c>
      <c r="AT56" s="12" t="str">
        <f>IF(検体毎項目情報!B57="","",検体毎項目情報!B57)</f>
        <v/>
      </c>
      <c r="AU56" s="12" t="str">
        <f>IF(検体毎項目情報!C57="","",検体毎項目情報!C57)</f>
        <v/>
      </c>
      <c r="AV56" s="12" t="str">
        <f>IF(検体毎項目情報!D57="","",検体毎項目情報!D57)</f>
        <v/>
      </c>
      <c r="AW56" s="12" t="str">
        <f>IF(検体毎項目情報!E57="","",検体毎項目情報!E57)</f>
        <v/>
      </c>
      <c r="AX56" s="12" t="str">
        <f>IF(検体毎項目情報!F57="","",検体毎項目情報!F57)</f>
        <v/>
      </c>
      <c r="AY56" s="12" t="str">
        <f>IF(検体毎項目情報!G57="","",検体毎項目情報!G57)</f>
        <v/>
      </c>
      <c r="AZ56" s="12" t="str">
        <f>IF(検体毎項目情報!H57="","",検体毎項目情報!H57)</f>
        <v/>
      </c>
      <c r="BA56" s="12" t="str">
        <f>IF(検体毎項目情報!I57="","",検体毎項目情報!I57)</f>
        <v/>
      </c>
      <c r="BB56" s="12" t="str">
        <f>IF(検体毎項目情報!J57="","",検体毎項目情報!J57)</f>
        <v/>
      </c>
      <c r="BC56" s="12" t="str">
        <f>IF(検体毎項目情報!K57="","",検体毎項目情報!K57)</f>
        <v/>
      </c>
      <c r="BD56" s="12" t="str">
        <f>IF(検体毎項目情報!L57="","",検体毎項目情報!L57)</f>
        <v/>
      </c>
      <c r="BE56" s="12" t="str">
        <f>IF(検体毎項目情報!M57="","",検体毎項目情報!M57)</f>
        <v/>
      </c>
      <c r="BF56" s="12" t="str">
        <f>IF(検体毎項目情報!N57="","",検体毎項目情報!N57)</f>
        <v/>
      </c>
      <c r="BG56" s="12" t="str">
        <f>IF(検体毎項目情報!O57="","",検体毎項目情報!O57)</f>
        <v/>
      </c>
      <c r="BH56" s="12" t="str">
        <f>IF(検体毎項目情報!P57="","",検体毎項目情報!P57)</f>
        <v/>
      </c>
      <c r="BI56" s="12" t="str">
        <f>IF(検体毎項目情報!Q57="","",検体毎項目情報!Q57)</f>
        <v/>
      </c>
      <c r="BJ56" s="12" t="str">
        <f>IF(検体毎項目情報!R57="","",検体毎項目情報!R57)</f>
        <v/>
      </c>
      <c r="BK56" s="12" t="str">
        <f>IF(検体毎項目情報!S57="","",検体毎項目情報!S57)</f>
        <v/>
      </c>
      <c r="BL56" s="12" t="str">
        <f>IF(検体毎項目情報!T57="","",検体毎項目情報!T57)</f>
        <v/>
      </c>
      <c r="BM56" s="12" t="str">
        <f>IF(検体毎項目情報!U57="","",検体毎項目情報!U57)</f>
        <v/>
      </c>
      <c r="BN56" s="12" t="str">
        <f>IF(検体毎項目情報!V57="","",検体毎項目情報!V57)</f>
        <v/>
      </c>
      <c r="BO56" s="12" t="str">
        <f>IF(検体毎項目情報!W57="","",検体毎項目情報!W57)</f>
        <v/>
      </c>
      <c r="BP56" s="12" t="str">
        <f>IF(検体毎項目情報!X57="","",検体毎項目情報!X57)</f>
        <v/>
      </c>
    </row>
    <row r="57" spans="44:68">
      <c r="AR57" s="32" t="str">
        <f>IF(AS57="","",COUNTIF(費用項目一覧!A:A,判定詳細!AU57))</f>
        <v/>
      </c>
      <c r="AS57" s="12" t="str">
        <f>IF(検体毎項目情報!A58="","",検体毎項目情報!A58)</f>
        <v/>
      </c>
      <c r="AT57" s="12" t="str">
        <f>IF(検体毎項目情報!B58="","",検体毎項目情報!B58)</f>
        <v/>
      </c>
      <c r="AU57" s="12" t="str">
        <f>IF(検体毎項目情報!C58="","",検体毎項目情報!C58)</f>
        <v/>
      </c>
      <c r="AV57" s="12" t="str">
        <f>IF(検体毎項目情報!D58="","",検体毎項目情報!D58)</f>
        <v/>
      </c>
      <c r="AW57" s="12" t="str">
        <f>IF(検体毎項目情報!E58="","",検体毎項目情報!E58)</f>
        <v/>
      </c>
      <c r="AX57" s="12" t="str">
        <f>IF(検体毎項目情報!F58="","",検体毎項目情報!F58)</f>
        <v/>
      </c>
      <c r="AY57" s="12" t="str">
        <f>IF(検体毎項目情報!G58="","",検体毎項目情報!G58)</f>
        <v/>
      </c>
      <c r="AZ57" s="12" t="str">
        <f>IF(検体毎項目情報!H58="","",検体毎項目情報!H58)</f>
        <v/>
      </c>
      <c r="BA57" s="12" t="str">
        <f>IF(検体毎項目情報!I58="","",検体毎項目情報!I58)</f>
        <v/>
      </c>
      <c r="BB57" s="12" t="str">
        <f>IF(検体毎項目情報!J58="","",検体毎項目情報!J58)</f>
        <v/>
      </c>
      <c r="BC57" s="12" t="str">
        <f>IF(検体毎項目情報!K58="","",検体毎項目情報!K58)</f>
        <v/>
      </c>
      <c r="BD57" s="12" t="str">
        <f>IF(検体毎項目情報!L58="","",検体毎項目情報!L58)</f>
        <v/>
      </c>
      <c r="BE57" s="12" t="str">
        <f>IF(検体毎項目情報!M58="","",検体毎項目情報!M58)</f>
        <v/>
      </c>
      <c r="BF57" s="12" t="str">
        <f>IF(検体毎項目情報!N58="","",検体毎項目情報!N58)</f>
        <v/>
      </c>
      <c r="BG57" s="12" t="str">
        <f>IF(検体毎項目情報!O58="","",検体毎項目情報!O58)</f>
        <v/>
      </c>
      <c r="BH57" s="12" t="str">
        <f>IF(検体毎項目情報!P58="","",検体毎項目情報!P58)</f>
        <v/>
      </c>
      <c r="BI57" s="12" t="str">
        <f>IF(検体毎項目情報!Q58="","",検体毎項目情報!Q58)</f>
        <v/>
      </c>
      <c r="BJ57" s="12" t="str">
        <f>IF(検体毎項目情報!R58="","",検体毎項目情報!R58)</f>
        <v/>
      </c>
      <c r="BK57" s="12" t="str">
        <f>IF(検体毎項目情報!S58="","",検体毎項目情報!S58)</f>
        <v/>
      </c>
      <c r="BL57" s="12" t="str">
        <f>IF(検体毎項目情報!T58="","",検体毎項目情報!T58)</f>
        <v/>
      </c>
      <c r="BM57" s="12" t="str">
        <f>IF(検体毎項目情報!U58="","",検体毎項目情報!U58)</f>
        <v/>
      </c>
      <c r="BN57" s="12" t="str">
        <f>IF(検体毎項目情報!V58="","",検体毎項目情報!V58)</f>
        <v/>
      </c>
      <c r="BO57" s="12" t="str">
        <f>IF(検体毎項目情報!W58="","",検体毎項目情報!W58)</f>
        <v/>
      </c>
      <c r="BP57" s="12" t="str">
        <f>IF(検体毎項目情報!X58="","",検体毎項目情報!X58)</f>
        <v/>
      </c>
    </row>
    <row r="58" spans="44:68">
      <c r="AR58" s="32" t="str">
        <f>IF(AS58="","",COUNTIF(費用項目一覧!A:A,判定詳細!AU58))</f>
        <v/>
      </c>
      <c r="AS58" s="12" t="str">
        <f>IF(検体毎項目情報!A59="","",検体毎項目情報!A59)</f>
        <v/>
      </c>
      <c r="AT58" s="12" t="str">
        <f>IF(検体毎項目情報!B59="","",検体毎項目情報!B59)</f>
        <v/>
      </c>
      <c r="AU58" s="12" t="str">
        <f>IF(検体毎項目情報!C59="","",検体毎項目情報!C59)</f>
        <v/>
      </c>
      <c r="AV58" s="12" t="str">
        <f>IF(検体毎項目情報!D59="","",検体毎項目情報!D59)</f>
        <v/>
      </c>
      <c r="AW58" s="12" t="str">
        <f>IF(検体毎項目情報!E59="","",検体毎項目情報!E59)</f>
        <v/>
      </c>
      <c r="AX58" s="12" t="str">
        <f>IF(検体毎項目情報!F59="","",検体毎項目情報!F59)</f>
        <v/>
      </c>
      <c r="AY58" s="12" t="str">
        <f>IF(検体毎項目情報!G59="","",検体毎項目情報!G59)</f>
        <v/>
      </c>
      <c r="AZ58" s="12" t="str">
        <f>IF(検体毎項目情報!H59="","",検体毎項目情報!H59)</f>
        <v/>
      </c>
      <c r="BA58" s="12" t="str">
        <f>IF(検体毎項目情報!I59="","",検体毎項目情報!I59)</f>
        <v/>
      </c>
      <c r="BB58" s="12" t="str">
        <f>IF(検体毎項目情報!J59="","",検体毎項目情報!J59)</f>
        <v/>
      </c>
      <c r="BC58" s="12" t="str">
        <f>IF(検体毎項目情報!K59="","",検体毎項目情報!K59)</f>
        <v/>
      </c>
      <c r="BD58" s="12" t="str">
        <f>IF(検体毎項目情報!L59="","",検体毎項目情報!L59)</f>
        <v/>
      </c>
      <c r="BE58" s="12" t="str">
        <f>IF(検体毎項目情報!M59="","",検体毎項目情報!M59)</f>
        <v/>
      </c>
      <c r="BF58" s="12" t="str">
        <f>IF(検体毎項目情報!N59="","",検体毎項目情報!N59)</f>
        <v/>
      </c>
      <c r="BG58" s="12" t="str">
        <f>IF(検体毎項目情報!O59="","",検体毎項目情報!O59)</f>
        <v/>
      </c>
      <c r="BH58" s="12" t="str">
        <f>IF(検体毎項目情報!P59="","",検体毎項目情報!P59)</f>
        <v/>
      </c>
      <c r="BI58" s="12" t="str">
        <f>IF(検体毎項目情報!Q59="","",検体毎項目情報!Q59)</f>
        <v/>
      </c>
      <c r="BJ58" s="12" t="str">
        <f>IF(検体毎項目情報!R59="","",検体毎項目情報!R59)</f>
        <v/>
      </c>
      <c r="BK58" s="12" t="str">
        <f>IF(検体毎項目情報!S59="","",検体毎項目情報!S59)</f>
        <v/>
      </c>
      <c r="BL58" s="12" t="str">
        <f>IF(検体毎項目情報!T59="","",検体毎項目情報!T59)</f>
        <v/>
      </c>
      <c r="BM58" s="12" t="str">
        <f>IF(検体毎項目情報!U59="","",検体毎項目情報!U59)</f>
        <v/>
      </c>
      <c r="BN58" s="12" t="str">
        <f>IF(検体毎項目情報!V59="","",検体毎項目情報!V59)</f>
        <v/>
      </c>
      <c r="BO58" s="12" t="str">
        <f>IF(検体毎項目情報!W59="","",検体毎項目情報!W59)</f>
        <v/>
      </c>
      <c r="BP58" s="12" t="str">
        <f>IF(検体毎項目情報!X59="","",検体毎項目情報!X59)</f>
        <v/>
      </c>
    </row>
    <row r="59" spans="44:68">
      <c r="AR59" s="32" t="str">
        <f>IF(AS59="","",COUNTIF(費用項目一覧!A:A,判定詳細!AU59))</f>
        <v/>
      </c>
      <c r="AS59" s="12" t="str">
        <f>IF(検体毎項目情報!A60="","",検体毎項目情報!A60)</f>
        <v/>
      </c>
      <c r="AT59" s="12" t="str">
        <f>IF(検体毎項目情報!B60="","",検体毎項目情報!B60)</f>
        <v/>
      </c>
      <c r="AU59" s="12" t="str">
        <f>IF(検体毎項目情報!C60="","",検体毎項目情報!C60)</f>
        <v/>
      </c>
      <c r="AV59" s="12" t="str">
        <f>IF(検体毎項目情報!D60="","",検体毎項目情報!D60)</f>
        <v/>
      </c>
      <c r="AW59" s="12" t="str">
        <f>IF(検体毎項目情報!E60="","",検体毎項目情報!E60)</f>
        <v/>
      </c>
      <c r="AX59" s="12" t="str">
        <f>IF(検体毎項目情報!F60="","",検体毎項目情報!F60)</f>
        <v/>
      </c>
      <c r="AY59" s="12" t="str">
        <f>IF(検体毎項目情報!G60="","",検体毎項目情報!G60)</f>
        <v/>
      </c>
      <c r="AZ59" s="12" t="str">
        <f>IF(検体毎項目情報!H60="","",検体毎項目情報!H60)</f>
        <v/>
      </c>
      <c r="BA59" s="12" t="str">
        <f>IF(検体毎項目情報!I60="","",検体毎項目情報!I60)</f>
        <v/>
      </c>
      <c r="BB59" s="12" t="str">
        <f>IF(検体毎項目情報!J60="","",検体毎項目情報!J60)</f>
        <v/>
      </c>
      <c r="BC59" s="12" t="str">
        <f>IF(検体毎項目情報!K60="","",検体毎項目情報!K60)</f>
        <v/>
      </c>
      <c r="BD59" s="12" t="str">
        <f>IF(検体毎項目情報!L60="","",検体毎項目情報!L60)</f>
        <v/>
      </c>
      <c r="BE59" s="12" t="str">
        <f>IF(検体毎項目情報!M60="","",検体毎項目情報!M60)</f>
        <v/>
      </c>
      <c r="BF59" s="12" t="str">
        <f>IF(検体毎項目情報!N60="","",検体毎項目情報!N60)</f>
        <v/>
      </c>
      <c r="BG59" s="12" t="str">
        <f>IF(検体毎項目情報!O60="","",検体毎項目情報!O60)</f>
        <v/>
      </c>
      <c r="BH59" s="12" t="str">
        <f>IF(検体毎項目情報!P60="","",検体毎項目情報!P60)</f>
        <v/>
      </c>
      <c r="BI59" s="12" t="str">
        <f>IF(検体毎項目情報!Q60="","",検体毎項目情報!Q60)</f>
        <v/>
      </c>
      <c r="BJ59" s="12" t="str">
        <f>IF(検体毎項目情報!R60="","",検体毎項目情報!R60)</f>
        <v/>
      </c>
      <c r="BK59" s="12" t="str">
        <f>IF(検体毎項目情報!S60="","",検体毎項目情報!S60)</f>
        <v/>
      </c>
      <c r="BL59" s="12" t="str">
        <f>IF(検体毎項目情報!T60="","",検体毎項目情報!T60)</f>
        <v/>
      </c>
      <c r="BM59" s="12" t="str">
        <f>IF(検体毎項目情報!U60="","",検体毎項目情報!U60)</f>
        <v/>
      </c>
      <c r="BN59" s="12" t="str">
        <f>IF(検体毎項目情報!V60="","",検体毎項目情報!V60)</f>
        <v/>
      </c>
      <c r="BO59" s="12" t="str">
        <f>IF(検体毎項目情報!W60="","",検体毎項目情報!W60)</f>
        <v/>
      </c>
      <c r="BP59" s="12" t="str">
        <f>IF(検体毎項目情報!X60="","",検体毎項目情報!X60)</f>
        <v/>
      </c>
    </row>
    <row r="60" spans="44:68">
      <c r="AR60" s="32" t="str">
        <f>IF(AS60="","",COUNTIF(費用項目一覧!A:A,判定詳細!AU60))</f>
        <v/>
      </c>
      <c r="AS60" s="12" t="str">
        <f>IF(検体毎項目情報!A61="","",検体毎項目情報!A61)</f>
        <v/>
      </c>
      <c r="AT60" s="12" t="str">
        <f>IF(検体毎項目情報!B61="","",検体毎項目情報!B61)</f>
        <v/>
      </c>
      <c r="AU60" s="12" t="str">
        <f>IF(検体毎項目情報!C61="","",検体毎項目情報!C61)</f>
        <v/>
      </c>
      <c r="AV60" s="12" t="str">
        <f>IF(検体毎項目情報!D61="","",検体毎項目情報!D61)</f>
        <v/>
      </c>
      <c r="AW60" s="12" t="str">
        <f>IF(検体毎項目情報!E61="","",検体毎項目情報!E61)</f>
        <v/>
      </c>
      <c r="AX60" s="12" t="str">
        <f>IF(検体毎項目情報!F61="","",検体毎項目情報!F61)</f>
        <v/>
      </c>
      <c r="AY60" s="12" t="str">
        <f>IF(検体毎項目情報!G61="","",検体毎項目情報!G61)</f>
        <v/>
      </c>
      <c r="AZ60" s="12" t="str">
        <f>IF(検体毎項目情報!H61="","",検体毎項目情報!H61)</f>
        <v/>
      </c>
      <c r="BA60" s="12" t="str">
        <f>IF(検体毎項目情報!I61="","",検体毎項目情報!I61)</f>
        <v/>
      </c>
      <c r="BB60" s="12" t="str">
        <f>IF(検体毎項目情報!J61="","",検体毎項目情報!J61)</f>
        <v/>
      </c>
      <c r="BC60" s="12" t="str">
        <f>IF(検体毎項目情報!K61="","",検体毎項目情報!K61)</f>
        <v/>
      </c>
      <c r="BD60" s="12" t="str">
        <f>IF(検体毎項目情報!L61="","",検体毎項目情報!L61)</f>
        <v/>
      </c>
      <c r="BE60" s="12" t="str">
        <f>IF(検体毎項目情報!M61="","",検体毎項目情報!M61)</f>
        <v/>
      </c>
      <c r="BF60" s="12" t="str">
        <f>IF(検体毎項目情報!N61="","",検体毎項目情報!N61)</f>
        <v/>
      </c>
      <c r="BG60" s="12" t="str">
        <f>IF(検体毎項目情報!O61="","",検体毎項目情報!O61)</f>
        <v/>
      </c>
      <c r="BH60" s="12" t="str">
        <f>IF(検体毎項目情報!P61="","",検体毎項目情報!P61)</f>
        <v/>
      </c>
      <c r="BI60" s="12" t="str">
        <f>IF(検体毎項目情報!Q61="","",検体毎項目情報!Q61)</f>
        <v/>
      </c>
      <c r="BJ60" s="12" t="str">
        <f>IF(検体毎項目情報!R61="","",検体毎項目情報!R61)</f>
        <v/>
      </c>
      <c r="BK60" s="12" t="str">
        <f>IF(検体毎項目情報!S61="","",検体毎項目情報!S61)</f>
        <v/>
      </c>
      <c r="BL60" s="12" t="str">
        <f>IF(検体毎項目情報!T61="","",検体毎項目情報!T61)</f>
        <v/>
      </c>
      <c r="BM60" s="12" t="str">
        <f>IF(検体毎項目情報!U61="","",検体毎項目情報!U61)</f>
        <v/>
      </c>
      <c r="BN60" s="12" t="str">
        <f>IF(検体毎項目情報!V61="","",検体毎項目情報!V61)</f>
        <v/>
      </c>
      <c r="BO60" s="12" t="str">
        <f>IF(検体毎項目情報!W61="","",検体毎項目情報!W61)</f>
        <v/>
      </c>
      <c r="BP60" s="12" t="str">
        <f>IF(検体毎項目情報!X61="","",検体毎項目情報!X61)</f>
        <v/>
      </c>
    </row>
    <row r="61" spans="44:68">
      <c r="AR61" s="32" t="str">
        <f>IF(AS61="","",COUNTIF(費用項目一覧!A:A,判定詳細!AU61))</f>
        <v/>
      </c>
      <c r="AS61" s="12" t="str">
        <f>IF(検体毎項目情報!A62="","",検体毎項目情報!A62)</f>
        <v/>
      </c>
      <c r="AT61" s="12" t="str">
        <f>IF(検体毎項目情報!B62="","",検体毎項目情報!B62)</f>
        <v/>
      </c>
      <c r="AU61" s="12" t="str">
        <f>IF(検体毎項目情報!C62="","",検体毎項目情報!C62)</f>
        <v/>
      </c>
      <c r="AV61" s="12" t="str">
        <f>IF(検体毎項目情報!D62="","",検体毎項目情報!D62)</f>
        <v/>
      </c>
      <c r="AW61" s="12" t="str">
        <f>IF(検体毎項目情報!E62="","",検体毎項目情報!E62)</f>
        <v/>
      </c>
      <c r="AX61" s="12" t="str">
        <f>IF(検体毎項目情報!F62="","",検体毎項目情報!F62)</f>
        <v/>
      </c>
      <c r="AY61" s="12" t="str">
        <f>IF(検体毎項目情報!G62="","",検体毎項目情報!G62)</f>
        <v/>
      </c>
      <c r="AZ61" s="12" t="str">
        <f>IF(検体毎項目情報!H62="","",検体毎項目情報!H62)</f>
        <v/>
      </c>
      <c r="BA61" s="12" t="str">
        <f>IF(検体毎項目情報!I62="","",検体毎項目情報!I62)</f>
        <v/>
      </c>
      <c r="BB61" s="12" t="str">
        <f>IF(検体毎項目情報!J62="","",検体毎項目情報!J62)</f>
        <v/>
      </c>
      <c r="BC61" s="12" t="str">
        <f>IF(検体毎項目情報!K62="","",検体毎項目情報!K62)</f>
        <v/>
      </c>
      <c r="BD61" s="12" t="str">
        <f>IF(検体毎項目情報!L62="","",検体毎項目情報!L62)</f>
        <v/>
      </c>
      <c r="BE61" s="12" t="str">
        <f>IF(検体毎項目情報!M62="","",検体毎項目情報!M62)</f>
        <v/>
      </c>
      <c r="BF61" s="12" t="str">
        <f>IF(検体毎項目情報!N62="","",検体毎項目情報!N62)</f>
        <v/>
      </c>
      <c r="BG61" s="12" t="str">
        <f>IF(検体毎項目情報!O62="","",検体毎項目情報!O62)</f>
        <v/>
      </c>
      <c r="BH61" s="12" t="str">
        <f>IF(検体毎項目情報!P62="","",検体毎項目情報!P62)</f>
        <v/>
      </c>
      <c r="BI61" s="12" t="str">
        <f>IF(検体毎項目情報!Q62="","",検体毎項目情報!Q62)</f>
        <v/>
      </c>
      <c r="BJ61" s="12" t="str">
        <f>IF(検体毎項目情報!R62="","",検体毎項目情報!R62)</f>
        <v/>
      </c>
      <c r="BK61" s="12" t="str">
        <f>IF(検体毎項目情報!S62="","",検体毎項目情報!S62)</f>
        <v/>
      </c>
      <c r="BL61" s="12" t="str">
        <f>IF(検体毎項目情報!T62="","",検体毎項目情報!T62)</f>
        <v/>
      </c>
      <c r="BM61" s="12" t="str">
        <f>IF(検体毎項目情報!U62="","",検体毎項目情報!U62)</f>
        <v/>
      </c>
      <c r="BN61" s="12" t="str">
        <f>IF(検体毎項目情報!V62="","",検体毎項目情報!V62)</f>
        <v/>
      </c>
      <c r="BO61" s="12" t="str">
        <f>IF(検体毎項目情報!W62="","",検体毎項目情報!W62)</f>
        <v/>
      </c>
      <c r="BP61" s="12" t="str">
        <f>IF(検体毎項目情報!X62="","",検体毎項目情報!X62)</f>
        <v/>
      </c>
    </row>
    <row r="62" spans="44:68">
      <c r="AR62" s="32" t="str">
        <f>IF(AS62="","",COUNTIF(費用項目一覧!A:A,判定詳細!AU62))</f>
        <v/>
      </c>
      <c r="AS62" s="12" t="str">
        <f>IF(検体毎項目情報!A63="","",検体毎項目情報!A63)</f>
        <v/>
      </c>
      <c r="AT62" s="12" t="str">
        <f>IF(検体毎項目情報!B63="","",検体毎項目情報!B63)</f>
        <v/>
      </c>
      <c r="AU62" s="12" t="str">
        <f>IF(検体毎項目情報!C63="","",検体毎項目情報!C63)</f>
        <v/>
      </c>
      <c r="AV62" s="12" t="str">
        <f>IF(検体毎項目情報!D63="","",検体毎項目情報!D63)</f>
        <v/>
      </c>
      <c r="AW62" s="12" t="str">
        <f>IF(検体毎項目情報!E63="","",検体毎項目情報!E63)</f>
        <v/>
      </c>
      <c r="AX62" s="12" t="str">
        <f>IF(検体毎項目情報!F63="","",検体毎項目情報!F63)</f>
        <v/>
      </c>
      <c r="AY62" s="12" t="str">
        <f>IF(検体毎項目情報!G63="","",検体毎項目情報!G63)</f>
        <v/>
      </c>
      <c r="AZ62" s="12" t="str">
        <f>IF(検体毎項目情報!H63="","",検体毎項目情報!H63)</f>
        <v/>
      </c>
      <c r="BA62" s="12" t="str">
        <f>IF(検体毎項目情報!I63="","",検体毎項目情報!I63)</f>
        <v/>
      </c>
      <c r="BB62" s="12" t="str">
        <f>IF(検体毎項目情報!J63="","",検体毎項目情報!J63)</f>
        <v/>
      </c>
      <c r="BC62" s="12" t="str">
        <f>IF(検体毎項目情報!K63="","",検体毎項目情報!K63)</f>
        <v/>
      </c>
      <c r="BD62" s="12" t="str">
        <f>IF(検体毎項目情報!L63="","",検体毎項目情報!L63)</f>
        <v/>
      </c>
      <c r="BE62" s="12" t="str">
        <f>IF(検体毎項目情報!M63="","",検体毎項目情報!M63)</f>
        <v/>
      </c>
      <c r="BF62" s="12" t="str">
        <f>IF(検体毎項目情報!N63="","",検体毎項目情報!N63)</f>
        <v/>
      </c>
      <c r="BG62" s="12" t="str">
        <f>IF(検体毎項目情報!O63="","",検体毎項目情報!O63)</f>
        <v/>
      </c>
      <c r="BH62" s="12" t="str">
        <f>IF(検体毎項目情報!P63="","",検体毎項目情報!P63)</f>
        <v/>
      </c>
      <c r="BI62" s="12" t="str">
        <f>IF(検体毎項目情報!Q63="","",検体毎項目情報!Q63)</f>
        <v/>
      </c>
      <c r="BJ62" s="12" t="str">
        <f>IF(検体毎項目情報!R63="","",検体毎項目情報!R63)</f>
        <v/>
      </c>
      <c r="BK62" s="12" t="str">
        <f>IF(検体毎項目情報!S63="","",検体毎項目情報!S63)</f>
        <v/>
      </c>
      <c r="BL62" s="12" t="str">
        <f>IF(検体毎項目情報!T63="","",検体毎項目情報!T63)</f>
        <v/>
      </c>
      <c r="BM62" s="12" t="str">
        <f>IF(検体毎項目情報!U63="","",検体毎項目情報!U63)</f>
        <v/>
      </c>
      <c r="BN62" s="12" t="str">
        <f>IF(検体毎項目情報!V63="","",検体毎項目情報!V63)</f>
        <v/>
      </c>
      <c r="BO62" s="12" t="str">
        <f>IF(検体毎項目情報!W63="","",検体毎項目情報!W63)</f>
        <v/>
      </c>
      <c r="BP62" s="12" t="str">
        <f>IF(検体毎項目情報!X63="","",検体毎項目情報!X63)</f>
        <v/>
      </c>
    </row>
    <row r="63" spans="44:68">
      <c r="AR63" s="32" t="str">
        <f>IF(AS63="","",COUNTIF(費用項目一覧!A:A,判定詳細!AU63))</f>
        <v/>
      </c>
      <c r="AS63" s="12" t="str">
        <f>IF(検体毎項目情報!A64="","",検体毎項目情報!A64)</f>
        <v/>
      </c>
      <c r="AT63" s="12" t="str">
        <f>IF(検体毎項目情報!B64="","",検体毎項目情報!B64)</f>
        <v/>
      </c>
      <c r="AU63" s="12" t="str">
        <f>IF(検体毎項目情報!C64="","",検体毎項目情報!C64)</f>
        <v/>
      </c>
      <c r="AV63" s="12" t="str">
        <f>IF(検体毎項目情報!D64="","",検体毎項目情報!D64)</f>
        <v/>
      </c>
      <c r="AW63" s="12" t="str">
        <f>IF(検体毎項目情報!E64="","",検体毎項目情報!E64)</f>
        <v/>
      </c>
      <c r="AX63" s="12" t="str">
        <f>IF(検体毎項目情報!F64="","",検体毎項目情報!F64)</f>
        <v/>
      </c>
      <c r="AY63" s="12" t="str">
        <f>IF(検体毎項目情報!G64="","",検体毎項目情報!G64)</f>
        <v/>
      </c>
      <c r="AZ63" s="12" t="str">
        <f>IF(検体毎項目情報!H64="","",検体毎項目情報!H64)</f>
        <v/>
      </c>
      <c r="BA63" s="12" t="str">
        <f>IF(検体毎項目情報!I64="","",検体毎項目情報!I64)</f>
        <v/>
      </c>
      <c r="BB63" s="12" t="str">
        <f>IF(検体毎項目情報!J64="","",検体毎項目情報!J64)</f>
        <v/>
      </c>
      <c r="BC63" s="12" t="str">
        <f>IF(検体毎項目情報!K64="","",検体毎項目情報!K64)</f>
        <v/>
      </c>
      <c r="BD63" s="12" t="str">
        <f>IF(検体毎項目情報!L64="","",検体毎項目情報!L64)</f>
        <v/>
      </c>
      <c r="BE63" s="12" t="str">
        <f>IF(検体毎項目情報!M64="","",検体毎項目情報!M64)</f>
        <v/>
      </c>
      <c r="BF63" s="12" t="str">
        <f>IF(検体毎項目情報!N64="","",検体毎項目情報!N64)</f>
        <v/>
      </c>
      <c r="BG63" s="12" t="str">
        <f>IF(検体毎項目情報!O64="","",検体毎項目情報!O64)</f>
        <v/>
      </c>
      <c r="BH63" s="12" t="str">
        <f>IF(検体毎項目情報!P64="","",検体毎項目情報!P64)</f>
        <v/>
      </c>
      <c r="BI63" s="12" t="str">
        <f>IF(検体毎項目情報!Q64="","",検体毎項目情報!Q64)</f>
        <v/>
      </c>
      <c r="BJ63" s="12" t="str">
        <f>IF(検体毎項目情報!R64="","",検体毎項目情報!R64)</f>
        <v/>
      </c>
      <c r="BK63" s="12" t="str">
        <f>IF(検体毎項目情報!S64="","",検体毎項目情報!S64)</f>
        <v/>
      </c>
      <c r="BL63" s="12" t="str">
        <f>IF(検体毎項目情報!T64="","",検体毎項目情報!T64)</f>
        <v/>
      </c>
      <c r="BM63" s="12" t="str">
        <f>IF(検体毎項目情報!U64="","",検体毎項目情報!U64)</f>
        <v/>
      </c>
      <c r="BN63" s="12" t="str">
        <f>IF(検体毎項目情報!V64="","",検体毎項目情報!V64)</f>
        <v/>
      </c>
      <c r="BO63" s="12" t="str">
        <f>IF(検体毎項目情報!W64="","",検体毎項目情報!W64)</f>
        <v/>
      </c>
      <c r="BP63" s="12" t="str">
        <f>IF(検体毎項目情報!X64="","",検体毎項目情報!X64)</f>
        <v/>
      </c>
    </row>
    <row r="64" spans="44:68">
      <c r="AR64" s="32" t="str">
        <f>IF(AS64="","",COUNTIF(費用項目一覧!A:A,判定詳細!AU64))</f>
        <v/>
      </c>
      <c r="AS64" s="12" t="str">
        <f>IF(検体毎項目情報!A65="","",検体毎項目情報!A65)</f>
        <v/>
      </c>
      <c r="AT64" s="12" t="str">
        <f>IF(検体毎項目情報!B65="","",検体毎項目情報!B65)</f>
        <v/>
      </c>
      <c r="AU64" s="12" t="str">
        <f>IF(検体毎項目情報!C65="","",検体毎項目情報!C65)</f>
        <v/>
      </c>
      <c r="AV64" s="12" t="str">
        <f>IF(検体毎項目情報!D65="","",検体毎項目情報!D65)</f>
        <v/>
      </c>
      <c r="AW64" s="12" t="str">
        <f>IF(検体毎項目情報!E65="","",検体毎項目情報!E65)</f>
        <v/>
      </c>
      <c r="AX64" s="12" t="str">
        <f>IF(検体毎項目情報!F65="","",検体毎項目情報!F65)</f>
        <v/>
      </c>
      <c r="AY64" s="12" t="str">
        <f>IF(検体毎項目情報!G65="","",検体毎項目情報!G65)</f>
        <v/>
      </c>
      <c r="AZ64" s="12" t="str">
        <f>IF(検体毎項目情報!H65="","",検体毎項目情報!H65)</f>
        <v/>
      </c>
      <c r="BA64" s="12" t="str">
        <f>IF(検体毎項目情報!I65="","",検体毎項目情報!I65)</f>
        <v/>
      </c>
      <c r="BB64" s="12" t="str">
        <f>IF(検体毎項目情報!J65="","",検体毎項目情報!J65)</f>
        <v/>
      </c>
      <c r="BC64" s="12" t="str">
        <f>IF(検体毎項目情報!K65="","",検体毎項目情報!K65)</f>
        <v/>
      </c>
      <c r="BD64" s="12" t="str">
        <f>IF(検体毎項目情報!L65="","",検体毎項目情報!L65)</f>
        <v/>
      </c>
      <c r="BE64" s="12" t="str">
        <f>IF(検体毎項目情報!M65="","",検体毎項目情報!M65)</f>
        <v/>
      </c>
      <c r="BF64" s="12" t="str">
        <f>IF(検体毎項目情報!N65="","",検体毎項目情報!N65)</f>
        <v/>
      </c>
      <c r="BG64" s="12" t="str">
        <f>IF(検体毎項目情報!O65="","",検体毎項目情報!O65)</f>
        <v/>
      </c>
      <c r="BH64" s="12" t="str">
        <f>IF(検体毎項目情報!P65="","",検体毎項目情報!P65)</f>
        <v/>
      </c>
      <c r="BI64" s="12" t="str">
        <f>IF(検体毎項目情報!Q65="","",検体毎項目情報!Q65)</f>
        <v/>
      </c>
      <c r="BJ64" s="12" t="str">
        <f>IF(検体毎項目情報!R65="","",検体毎項目情報!R65)</f>
        <v/>
      </c>
      <c r="BK64" s="12" t="str">
        <f>IF(検体毎項目情報!S65="","",検体毎項目情報!S65)</f>
        <v/>
      </c>
      <c r="BL64" s="12" t="str">
        <f>IF(検体毎項目情報!T65="","",検体毎項目情報!T65)</f>
        <v/>
      </c>
      <c r="BM64" s="12" t="str">
        <f>IF(検体毎項目情報!U65="","",検体毎項目情報!U65)</f>
        <v/>
      </c>
      <c r="BN64" s="12" t="str">
        <f>IF(検体毎項目情報!V65="","",検体毎項目情報!V65)</f>
        <v/>
      </c>
      <c r="BO64" s="12" t="str">
        <f>IF(検体毎項目情報!W65="","",検体毎項目情報!W65)</f>
        <v/>
      </c>
      <c r="BP64" s="12" t="str">
        <f>IF(検体毎項目情報!X65="","",検体毎項目情報!X65)</f>
        <v/>
      </c>
    </row>
    <row r="65" spans="44:68">
      <c r="AR65" s="32" t="str">
        <f>IF(AS65="","",COUNTIF(費用項目一覧!A:A,判定詳細!AU65))</f>
        <v/>
      </c>
      <c r="AS65" s="12" t="str">
        <f>IF(検体毎項目情報!A66="","",検体毎項目情報!A66)</f>
        <v/>
      </c>
      <c r="AT65" s="12" t="str">
        <f>IF(検体毎項目情報!B66="","",検体毎項目情報!B66)</f>
        <v/>
      </c>
      <c r="AU65" s="12" t="str">
        <f>IF(検体毎項目情報!C66="","",検体毎項目情報!C66)</f>
        <v/>
      </c>
      <c r="AV65" s="12" t="str">
        <f>IF(検体毎項目情報!D66="","",検体毎項目情報!D66)</f>
        <v/>
      </c>
      <c r="AW65" s="12" t="str">
        <f>IF(検体毎項目情報!E66="","",検体毎項目情報!E66)</f>
        <v/>
      </c>
      <c r="AX65" s="12" t="str">
        <f>IF(検体毎項目情報!F66="","",検体毎項目情報!F66)</f>
        <v/>
      </c>
      <c r="AY65" s="12" t="str">
        <f>IF(検体毎項目情報!G66="","",検体毎項目情報!G66)</f>
        <v/>
      </c>
      <c r="AZ65" s="12" t="str">
        <f>IF(検体毎項目情報!H66="","",検体毎項目情報!H66)</f>
        <v/>
      </c>
      <c r="BA65" s="12" t="str">
        <f>IF(検体毎項目情報!I66="","",検体毎項目情報!I66)</f>
        <v/>
      </c>
      <c r="BB65" s="12" t="str">
        <f>IF(検体毎項目情報!J66="","",検体毎項目情報!J66)</f>
        <v/>
      </c>
      <c r="BC65" s="12" t="str">
        <f>IF(検体毎項目情報!K66="","",検体毎項目情報!K66)</f>
        <v/>
      </c>
      <c r="BD65" s="12" t="str">
        <f>IF(検体毎項目情報!L66="","",検体毎項目情報!L66)</f>
        <v/>
      </c>
      <c r="BE65" s="12" t="str">
        <f>IF(検体毎項目情報!M66="","",検体毎項目情報!M66)</f>
        <v/>
      </c>
      <c r="BF65" s="12" t="str">
        <f>IF(検体毎項目情報!N66="","",検体毎項目情報!N66)</f>
        <v/>
      </c>
      <c r="BG65" s="12" t="str">
        <f>IF(検体毎項目情報!O66="","",検体毎項目情報!O66)</f>
        <v/>
      </c>
      <c r="BH65" s="12" t="str">
        <f>IF(検体毎項目情報!P66="","",検体毎項目情報!P66)</f>
        <v/>
      </c>
      <c r="BI65" s="12" t="str">
        <f>IF(検体毎項目情報!Q66="","",検体毎項目情報!Q66)</f>
        <v/>
      </c>
      <c r="BJ65" s="12" t="str">
        <f>IF(検体毎項目情報!R66="","",検体毎項目情報!R66)</f>
        <v/>
      </c>
      <c r="BK65" s="12" t="str">
        <f>IF(検体毎項目情報!S66="","",検体毎項目情報!S66)</f>
        <v/>
      </c>
      <c r="BL65" s="12" t="str">
        <f>IF(検体毎項目情報!T66="","",検体毎項目情報!T66)</f>
        <v/>
      </c>
      <c r="BM65" s="12" t="str">
        <f>IF(検体毎項目情報!U66="","",検体毎項目情報!U66)</f>
        <v/>
      </c>
      <c r="BN65" s="12" t="str">
        <f>IF(検体毎項目情報!V66="","",検体毎項目情報!V66)</f>
        <v/>
      </c>
      <c r="BO65" s="12" t="str">
        <f>IF(検体毎項目情報!W66="","",検体毎項目情報!W66)</f>
        <v/>
      </c>
      <c r="BP65" s="12" t="str">
        <f>IF(検体毎項目情報!X66="","",検体毎項目情報!X66)</f>
        <v/>
      </c>
    </row>
    <row r="66" spans="44:68">
      <c r="AR66" s="32" t="str">
        <f>IF(AS66="","",COUNTIF(費用項目一覧!A:A,判定詳細!AU66))</f>
        <v/>
      </c>
      <c r="AS66" s="12" t="str">
        <f>IF(検体毎項目情報!A67="","",検体毎項目情報!A67)</f>
        <v/>
      </c>
      <c r="AT66" s="12" t="str">
        <f>IF(検体毎項目情報!B67="","",検体毎項目情報!B67)</f>
        <v/>
      </c>
      <c r="AU66" s="12" t="str">
        <f>IF(検体毎項目情報!C67="","",検体毎項目情報!C67)</f>
        <v/>
      </c>
      <c r="AV66" s="12" t="str">
        <f>IF(検体毎項目情報!D67="","",検体毎項目情報!D67)</f>
        <v/>
      </c>
      <c r="AW66" s="12" t="str">
        <f>IF(検体毎項目情報!E67="","",検体毎項目情報!E67)</f>
        <v/>
      </c>
      <c r="AX66" s="12" t="str">
        <f>IF(検体毎項目情報!F67="","",検体毎項目情報!F67)</f>
        <v/>
      </c>
      <c r="AY66" s="12" t="str">
        <f>IF(検体毎項目情報!G67="","",検体毎項目情報!G67)</f>
        <v/>
      </c>
      <c r="AZ66" s="12" t="str">
        <f>IF(検体毎項目情報!H67="","",検体毎項目情報!H67)</f>
        <v/>
      </c>
      <c r="BA66" s="12" t="str">
        <f>IF(検体毎項目情報!I67="","",検体毎項目情報!I67)</f>
        <v/>
      </c>
      <c r="BB66" s="12" t="str">
        <f>IF(検体毎項目情報!J67="","",検体毎項目情報!J67)</f>
        <v/>
      </c>
      <c r="BC66" s="12" t="str">
        <f>IF(検体毎項目情報!K67="","",検体毎項目情報!K67)</f>
        <v/>
      </c>
      <c r="BD66" s="12" t="str">
        <f>IF(検体毎項目情報!L67="","",検体毎項目情報!L67)</f>
        <v/>
      </c>
      <c r="BE66" s="12" t="str">
        <f>IF(検体毎項目情報!M67="","",検体毎項目情報!M67)</f>
        <v/>
      </c>
      <c r="BF66" s="12" t="str">
        <f>IF(検体毎項目情報!N67="","",検体毎項目情報!N67)</f>
        <v/>
      </c>
      <c r="BG66" s="12" t="str">
        <f>IF(検体毎項目情報!O67="","",検体毎項目情報!O67)</f>
        <v/>
      </c>
      <c r="BH66" s="12" t="str">
        <f>IF(検体毎項目情報!P67="","",検体毎項目情報!P67)</f>
        <v/>
      </c>
      <c r="BI66" s="12" t="str">
        <f>IF(検体毎項目情報!Q67="","",検体毎項目情報!Q67)</f>
        <v/>
      </c>
      <c r="BJ66" s="12" t="str">
        <f>IF(検体毎項目情報!R67="","",検体毎項目情報!R67)</f>
        <v/>
      </c>
      <c r="BK66" s="12" t="str">
        <f>IF(検体毎項目情報!S67="","",検体毎項目情報!S67)</f>
        <v/>
      </c>
      <c r="BL66" s="12" t="str">
        <f>IF(検体毎項目情報!T67="","",検体毎項目情報!T67)</f>
        <v/>
      </c>
      <c r="BM66" s="12" t="str">
        <f>IF(検体毎項目情報!U67="","",検体毎項目情報!U67)</f>
        <v/>
      </c>
      <c r="BN66" s="12" t="str">
        <f>IF(検体毎項目情報!V67="","",検体毎項目情報!V67)</f>
        <v/>
      </c>
      <c r="BO66" s="12" t="str">
        <f>IF(検体毎項目情報!W67="","",検体毎項目情報!W67)</f>
        <v/>
      </c>
      <c r="BP66" s="12" t="str">
        <f>IF(検体毎項目情報!X67="","",検体毎項目情報!X67)</f>
        <v/>
      </c>
    </row>
    <row r="67" spans="44:68">
      <c r="AR67" s="32" t="str">
        <f>IF(AS67="","",COUNTIF(費用項目一覧!A:A,判定詳細!AU67))</f>
        <v/>
      </c>
      <c r="AS67" s="12" t="str">
        <f>IF(検体毎項目情報!A68="","",検体毎項目情報!A68)</f>
        <v/>
      </c>
      <c r="AT67" s="12" t="str">
        <f>IF(検体毎項目情報!B68="","",検体毎項目情報!B68)</f>
        <v/>
      </c>
      <c r="AU67" s="12" t="str">
        <f>IF(検体毎項目情報!C68="","",検体毎項目情報!C68)</f>
        <v/>
      </c>
      <c r="AV67" s="12" t="str">
        <f>IF(検体毎項目情報!D68="","",検体毎項目情報!D68)</f>
        <v/>
      </c>
      <c r="AW67" s="12" t="str">
        <f>IF(検体毎項目情報!E68="","",検体毎項目情報!E68)</f>
        <v/>
      </c>
      <c r="AX67" s="12" t="str">
        <f>IF(検体毎項目情報!F68="","",検体毎項目情報!F68)</f>
        <v/>
      </c>
      <c r="AY67" s="12" t="str">
        <f>IF(検体毎項目情報!G68="","",検体毎項目情報!G68)</f>
        <v/>
      </c>
      <c r="AZ67" s="12" t="str">
        <f>IF(検体毎項目情報!H68="","",検体毎項目情報!H68)</f>
        <v/>
      </c>
      <c r="BA67" s="12" t="str">
        <f>IF(検体毎項目情報!I68="","",検体毎項目情報!I68)</f>
        <v/>
      </c>
      <c r="BB67" s="12" t="str">
        <f>IF(検体毎項目情報!J68="","",検体毎項目情報!J68)</f>
        <v/>
      </c>
      <c r="BC67" s="12" t="str">
        <f>IF(検体毎項目情報!K68="","",検体毎項目情報!K68)</f>
        <v/>
      </c>
      <c r="BD67" s="12" t="str">
        <f>IF(検体毎項目情報!L68="","",検体毎項目情報!L68)</f>
        <v/>
      </c>
      <c r="BE67" s="12" t="str">
        <f>IF(検体毎項目情報!M68="","",検体毎項目情報!M68)</f>
        <v/>
      </c>
      <c r="BF67" s="12" t="str">
        <f>IF(検体毎項目情報!N68="","",検体毎項目情報!N68)</f>
        <v/>
      </c>
      <c r="BG67" s="12" t="str">
        <f>IF(検体毎項目情報!O68="","",検体毎項目情報!O68)</f>
        <v/>
      </c>
      <c r="BH67" s="12" t="str">
        <f>IF(検体毎項目情報!P68="","",検体毎項目情報!P68)</f>
        <v/>
      </c>
      <c r="BI67" s="12" t="str">
        <f>IF(検体毎項目情報!Q68="","",検体毎項目情報!Q68)</f>
        <v/>
      </c>
      <c r="BJ67" s="12" t="str">
        <f>IF(検体毎項目情報!R68="","",検体毎項目情報!R68)</f>
        <v/>
      </c>
      <c r="BK67" s="12" t="str">
        <f>IF(検体毎項目情報!S68="","",検体毎項目情報!S68)</f>
        <v/>
      </c>
      <c r="BL67" s="12" t="str">
        <f>IF(検体毎項目情報!T68="","",検体毎項目情報!T68)</f>
        <v/>
      </c>
      <c r="BM67" s="12" t="str">
        <f>IF(検体毎項目情報!U68="","",検体毎項目情報!U68)</f>
        <v/>
      </c>
      <c r="BN67" s="12" t="str">
        <f>IF(検体毎項目情報!V68="","",検体毎項目情報!V68)</f>
        <v/>
      </c>
      <c r="BO67" s="12" t="str">
        <f>IF(検体毎項目情報!W68="","",検体毎項目情報!W68)</f>
        <v/>
      </c>
      <c r="BP67" s="12" t="str">
        <f>IF(検体毎項目情報!X68="","",検体毎項目情報!X68)</f>
        <v/>
      </c>
    </row>
    <row r="68" spans="44:68">
      <c r="AR68" s="32" t="str">
        <f>IF(AS68="","",COUNTIF(費用項目一覧!A:A,判定詳細!AU68))</f>
        <v/>
      </c>
      <c r="AS68" s="12" t="str">
        <f>IF(検体毎項目情報!A69="","",検体毎項目情報!A69)</f>
        <v/>
      </c>
      <c r="AT68" s="12" t="str">
        <f>IF(検体毎項目情報!B69="","",検体毎項目情報!B69)</f>
        <v/>
      </c>
      <c r="AU68" s="12" t="str">
        <f>IF(検体毎項目情報!C69="","",検体毎項目情報!C69)</f>
        <v/>
      </c>
      <c r="AV68" s="12" t="str">
        <f>IF(検体毎項目情報!D69="","",検体毎項目情報!D69)</f>
        <v/>
      </c>
      <c r="AW68" s="12" t="str">
        <f>IF(検体毎項目情報!E69="","",検体毎項目情報!E69)</f>
        <v/>
      </c>
      <c r="AX68" s="12" t="str">
        <f>IF(検体毎項目情報!F69="","",検体毎項目情報!F69)</f>
        <v/>
      </c>
      <c r="AY68" s="12" t="str">
        <f>IF(検体毎項目情報!G69="","",検体毎項目情報!G69)</f>
        <v/>
      </c>
      <c r="AZ68" s="12" t="str">
        <f>IF(検体毎項目情報!H69="","",検体毎項目情報!H69)</f>
        <v/>
      </c>
      <c r="BA68" s="12" t="str">
        <f>IF(検体毎項目情報!I69="","",検体毎項目情報!I69)</f>
        <v/>
      </c>
      <c r="BB68" s="12" t="str">
        <f>IF(検体毎項目情報!J69="","",検体毎項目情報!J69)</f>
        <v/>
      </c>
      <c r="BC68" s="12" t="str">
        <f>IF(検体毎項目情報!K69="","",検体毎項目情報!K69)</f>
        <v/>
      </c>
      <c r="BD68" s="12" t="str">
        <f>IF(検体毎項目情報!L69="","",検体毎項目情報!L69)</f>
        <v/>
      </c>
      <c r="BE68" s="12" t="str">
        <f>IF(検体毎項目情報!M69="","",検体毎項目情報!M69)</f>
        <v/>
      </c>
      <c r="BF68" s="12" t="str">
        <f>IF(検体毎項目情報!N69="","",検体毎項目情報!N69)</f>
        <v/>
      </c>
      <c r="BG68" s="12" t="str">
        <f>IF(検体毎項目情報!O69="","",検体毎項目情報!O69)</f>
        <v/>
      </c>
      <c r="BH68" s="12" t="str">
        <f>IF(検体毎項目情報!P69="","",検体毎項目情報!P69)</f>
        <v/>
      </c>
      <c r="BI68" s="12" t="str">
        <f>IF(検体毎項目情報!Q69="","",検体毎項目情報!Q69)</f>
        <v/>
      </c>
      <c r="BJ68" s="12" t="str">
        <f>IF(検体毎項目情報!R69="","",検体毎項目情報!R69)</f>
        <v/>
      </c>
      <c r="BK68" s="12" t="str">
        <f>IF(検体毎項目情報!S69="","",検体毎項目情報!S69)</f>
        <v/>
      </c>
      <c r="BL68" s="12" t="str">
        <f>IF(検体毎項目情報!T69="","",検体毎項目情報!T69)</f>
        <v/>
      </c>
      <c r="BM68" s="12" t="str">
        <f>IF(検体毎項目情報!U69="","",検体毎項目情報!U69)</f>
        <v/>
      </c>
      <c r="BN68" s="12" t="str">
        <f>IF(検体毎項目情報!V69="","",検体毎項目情報!V69)</f>
        <v/>
      </c>
      <c r="BO68" s="12" t="str">
        <f>IF(検体毎項目情報!W69="","",検体毎項目情報!W69)</f>
        <v/>
      </c>
      <c r="BP68" s="12" t="str">
        <f>IF(検体毎項目情報!X69="","",検体毎項目情報!X69)</f>
        <v/>
      </c>
    </row>
    <row r="69" spans="44:68">
      <c r="AR69" s="32" t="str">
        <f>IF(AS69="","",COUNTIF(費用項目一覧!A:A,判定詳細!AU69))</f>
        <v/>
      </c>
      <c r="AS69" s="12" t="str">
        <f>IF(検体毎項目情報!A70="","",検体毎項目情報!A70)</f>
        <v/>
      </c>
      <c r="AT69" s="12" t="str">
        <f>IF(検体毎項目情報!B70="","",検体毎項目情報!B70)</f>
        <v/>
      </c>
      <c r="AU69" s="12" t="str">
        <f>IF(検体毎項目情報!C70="","",検体毎項目情報!C70)</f>
        <v/>
      </c>
      <c r="AV69" s="12" t="str">
        <f>IF(検体毎項目情報!D70="","",検体毎項目情報!D70)</f>
        <v/>
      </c>
      <c r="AW69" s="12" t="str">
        <f>IF(検体毎項目情報!E70="","",検体毎項目情報!E70)</f>
        <v/>
      </c>
      <c r="AX69" s="12" t="str">
        <f>IF(検体毎項目情報!F70="","",検体毎項目情報!F70)</f>
        <v/>
      </c>
      <c r="AY69" s="12" t="str">
        <f>IF(検体毎項目情報!G70="","",検体毎項目情報!G70)</f>
        <v/>
      </c>
      <c r="AZ69" s="12" t="str">
        <f>IF(検体毎項目情報!H70="","",検体毎項目情報!H70)</f>
        <v/>
      </c>
      <c r="BA69" s="12" t="str">
        <f>IF(検体毎項目情報!I70="","",検体毎項目情報!I70)</f>
        <v/>
      </c>
      <c r="BB69" s="12" t="str">
        <f>IF(検体毎項目情報!J70="","",検体毎項目情報!J70)</f>
        <v/>
      </c>
      <c r="BC69" s="12" t="str">
        <f>IF(検体毎項目情報!K70="","",検体毎項目情報!K70)</f>
        <v/>
      </c>
      <c r="BD69" s="12" t="str">
        <f>IF(検体毎項目情報!L70="","",検体毎項目情報!L70)</f>
        <v/>
      </c>
      <c r="BE69" s="12" t="str">
        <f>IF(検体毎項目情報!M70="","",検体毎項目情報!M70)</f>
        <v/>
      </c>
      <c r="BF69" s="12" t="str">
        <f>IF(検体毎項目情報!N70="","",検体毎項目情報!N70)</f>
        <v/>
      </c>
      <c r="BG69" s="12" t="str">
        <f>IF(検体毎項目情報!O70="","",検体毎項目情報!O70)</f>
        <v/>
      </c>
      <c r="BH69" s="12" t="str">
        <f>IF(検体毎項目情報!P70="","",検体毎項目情報!P70)</f>
        <v/>
      </c>
      <c r="BI69" s="12" t="str">
        <f>IF(検体毎項目情報!Q70="","",検体毎項目情報!Q70)</f>
        <v/>
      </c>
      <c r="BJ69" s="12" t="str">
        <f>IF(検体毎項目情報!R70="","",検体毎項目情報!R70)</f>
        <v/>
      </c>
      <c r="BK69" s="12" t="str">
        <f>IF(検体毎項目情報!S70="","",検体毎項目情報!S70)</f>
        <v/>
      </c>
      <c r="BL69" s="12" t="str">
        <f>IF(検体毎項目情報!T70="","",検体毎項目情報!T70)</f>
        <v/>
      </c>
      <c r="BM69" s="12" t="str">
        <f>IF(検体毎項目情報!U70="","",検体毎項目情報!U70)</f>
        <v/>
      </c>
      <c r="BN69" s="12" t="str">
        <f>IF(検体毎項目情報!V70="","",検体毎項目情報!V70)</f>
        <v/>
      </c>
      <c r="BO69" s="12" t="str">
        <f>IF(検体毎項目情報!W70="","",検体毎項目情報!W70)</f>
        <v/>
      </c>
      <c r="BP69" s="12" t="str">
        <f>IF(検体毎項目情報!X70="","",検体毎項目情報!X70)</f>
        <v/>
      </c>
    </row>
    <row r="70" spans="44:68">
      <c r="AR70" s="32" t="str">
        <f>IF(AS70="","",COUNTIF(費用項目一覧!A:A,判定詳細!AU70))</f>
        <v/>
      </c>
      <c r="AS70" s="12" t="str">
        <f>IF(検体毎項目情報!A71="","",検体毎項目情報!A71)</f>
        <v/>
      </c>
      <c r="AT70" s="12" t="str">
        <f>IF(検体毎項目情報!B71="","",検体毎項目情報!B71)</f>
        <v/>
      </c>
      <c r="AU70" s="12" t="str">
        <f>IF(検体毎項目情報!C71="","",検体毎項目情報!C71)</f>
        <v/>
      </c>
      <c r="AV70" s="12" t="str">
        <f>IF(検体毎項目情報!D71="","",検体毎項目情報!D71)</f>
        <v/>
      </c>
      <c r="AW70" s="12" t="str">
        <f>IF(検体毎項目情報!E71="","",検体毎項目情報!E71)</f>
        <v/>
      </c>
      <c r="AX70" s="12" t="str">
        <f>IF(検体毎項目情報!F71="","",検体毎項目情報!F71)</f>
        <v/>
      </c>
      <c r="AY70" s="12" t="str">
        <f>IF(検体毎項目情報!G71="","",検体毎項目情報!G71)</f>
        <v/>
      </c>
      <c r="AZ70" s="12" t="str">
        <f>IF(検体毎項目情報!H71="","",検体毎項目情報!H71)</f>
        <v/>
      </c>
      <c r="BA70" s="12" t="str">
        <f>IF(検体毎項目情報!I71="","",検体毎項目情報!I71)</f>
        <v/>
      </c>
      <c r="BB70" s="12" t="str">
        <f>IF(検体毎項目情報!J71="","",検体毎項目情報!J71)</f>
        <v/>
      </c>
      <c r="BC70" s="12" t="str">
        <f>IF(検体毎項目情報!K71="","",検体毎項目情報!K71)</f>
        <v/>
      </c>
      <c r="BD70" s="12" t="str">
        <f>IF(検体毎項目情報!L71="","",検体毎項目情報!L71)</f>
        <v/>
      </c>
      <c r="BE70" s="12" t="str">
        <f>IF(検体毎項目情報!M71="","",検体毎項目情報!M71)</f>
        <v/>
      </c>
      <c r="BF70" s="12" t="str">
        <f>IF(検体毎項目情報!N71="","",検体毎項目情報!N71)</f>
        <v/>
      </c>
      <c r="BG70" s="12" t="str">
        <f>IF(検体毎項目情報!O71="","",検体毎項目情報!O71)</f>
        <v/>
      </c>
      <c r="BH70" s="12" t="str">
        <f>IF(検体毎項目情報!P71="","",検体毎項目情報!P71)</f>
        <v/>
      </c>
      <c r="BI70" s="12" t="str">
        <f>IF(検体毎項目情報!Q71="","",検体毎項目情報!Q71)</f>
        <v/>
      </c>
      <c r="BJ70" s="12" t="str">
        <f>IF(検体毎項目情報!R71="","",検体毎項目情報!R71)</f>
        <v/>
      </c>
      <c r="BK70" s="12" t="str">
        <f>IF(検体毎項目情報!S71="","",検体毎項目情報!S71)</f>
        <v/>
      </c>
      <c r="BL70" s="12" t="str">
        <f>IF(検体毎項目情報!T71="","",検体毎項目情報!T71)</f>
        <v/>
      </c>
      <c r="BM70" s="12" t="str">
        <f>IF(検体毎項目情報!U71="","",検体毎項目情報!U71)</f>
        <v/>
      </c>
      <c r="BN70" s="12" t="str">
        <f>IF(検体毎項目情報!V71="","",検体毎項目情報!V71)</f>
        <v/>
      </c>
      <c r="BO70" s="12" t="str">
        <f>IF(検体毎項目情報!W71="","",検体毎項目情報!W71)</f>
        <v/>
      </c>
      <c r="BP70" s="12" t="str">
        <f>IF(検体毎項目情報!X71="","",検体毎項目情報!X71)</f>
        <v/>
      </c>
    </row>
    <row r="71" spans="44:68">
      <c r="AR71" s="32" t="str">
        <f>IF(AS71="","",COUNTIF(費用項目一覧!A:A,判定詳細!AU71))</f>
        <v/>
      </c>
      <c r="AS71" s="12" t="str">
        <f>IF(検体毎項目情報!A72="","",検体毎項目情報!A72)</f>
        <v/>
      </c>
      <c r="AT71" s="12" t="str">
        <f>IF(検体毎項目情報!B72="","",検体毎項目情報!B72)</f>
        <v/>
      </c>
      <c r="AU71" s="12" t="str">
        <f>IF(検体毎項目情報!C72="","",検体毎項目情報!C72)</f>
        <v/>
      </c>
      <c r="AV71" s="12" t="str">
        <f>IF(検体毎項目情報!D72="","",検体毎項目情報!D72)</f>
        <v/>
      </c>
      <c r="AW71" s="12" t="str">
        <f>IF(検体毎項目情報!E72="","",検体毎項目情報!E72)</f>
        <v/>
      </c>
      <c r="AX71" s="12" t="str">
        <f>IF(検体毎項目情報!F72="","",検体毎項目情報!F72)</f>
        <v/>
      </c>
      <c r="AY71" s="12" t="str">
        <f>IF(検体毎項目情報!G72="","",検体毎項目情報!G72)</f>
        <v/>
      </c>
      <c r="AZ71" s="12" t="str">
        <f>IF(検体毎項目情報!H72="","",検体毎項目情報!H72)</f>
        <v/>
      </c>
      <c r="BA71" s="12" t="str">
        <f>IF(検体毎項目情報!I72="","",検体毎項目情報!I72)</f>
        <v/>
      </c>
      <c r="BB71" s="12" t="str">
        <f>IF(検体毎項目情報!J72="","",検体毎項目情報!J72)</f>
        <v/>
      </c>
      <c r="BC71" s="12" t="str">
        <f>IF(検体毎項目情報!K72="","",検体毎項目情報!K72)</f>
        <v/>
      </c>
      <c r="BD71" s="12" t="str">
        <f>IF(検体毎項目情報!L72="","",検体毎項目情報!L72)</f>
        <v/>
      </c>
      <c r="BE71" s="12" t="str">
        <f>IF(検体毎項目情報!M72="","",検体毎項目情報!M72)</f>
        <v/>
      </c>
      <c r="BF71" s="12" t="str">
        <f>IF(検体毎項目情報!N72="","",検体毎項目情報!N72)</f>
        <v/>
      </c>
      <c r="BG71" s="12" t="str">
        <f>IF(検体毎項目情報!O72="","",検体毎項目情報!O72)</f>
        <v/>
      </c>
      <c r="BH71" s="12" t="str">
        <f>IF(検体毎項目情報!P72="","",検体毎項目情報!P72)</f>
        <v/>
      </c>
      <c r="BI71" s="12" t="str">
        <f>IF(検体毎項目情報!Q72="","",検体毎項目情報!Q72)</f>
        <v/>
      </c>
      <c r="BJ71" s="12" t="str">
        <f>IF(検体毎項目情報!R72="","",検体毎項目情報!R72)</f>
        <v/>
      </c>
      <c r="BK71" s="12" t="str">
        <f>IF(検体毎項目情報!S72="","",検体毎項目情報!S72)</f>
        <v/>
      </c>
      <c r="BL71" s="12" t="str">
        <f>IF(検体毎項目情報!T72="","",検体毎項目情報!T72)</f>
        <v/>
      </c>
      <c r="BM71" s="12" t="str">
        <f>IF(検体毎項目情報!U72="","",検体毎項目情報!U72)</f>
        <v/>
      </c>
      <c r="BN71" s="12" t="str">
        <f>IF(検体毎項目情報!V72="","",検体毎項目情報!V72)</f>
        <v/>
      </c>
      <c r="BO71" s="12" t="str">
        <f>IF(検体毎項目情報!W72="","",検体毎項目情報!W72)</f>
        <v/>
      </c>
      <c r="BP71" s="12" t="str">
        <f>IF(検体毎項目情報!X72="","",検体毎項目情報!X72)</f>
        <v/>
      </c>
    </row>
    <row r="72" spans="44:68">
      <c r="AR72" s="32" t="str">
        <f>IF(AS72="","",COUNTIF(費用項目一覧!A:A,判定詳細!AU72))</f>
        <v/>
      </c>
      <c r="AS72" s="12" t="str">
        <f>IF(検体毎項目情報!A73="","",検体毎項目情報!A73)</f>
        <v/>
      </c>
      <c r="AT72" s="12" t="str">
        <f>IF(検体毎項目情報!B73="","",検体毎項目情報!B73)</f>
        <v/>
      </c>
      <c r="AU72" s="12" t="str">
        <f>IF(検体毎項目情報!C73="","",検体毎項目情報!C73)</f>
        <v/>
      </c>
      <c r="AV72" s="12" t="str">
        <f>IF(検体毎項目情報!D73="","",検体毎項目情報!D73)</f>
        <v/>
      </c>
      <c r="AW72" s="12" t="str">
        <f>IF(検体毎項目情報!E73="","",検体毎項目情報!E73)</f>
        <v/>
      </c>
      <c r="AX72" s="12" t="str">
        <f>IF(検体毎項目情報!F73="","",検体毎項目情報!F73)</f>
        <v/>
      </c>
      <c r="AY72" s="12" t="str">
        <f>IF(検体毎項目情報!G73="","",検体毎項目情報!G73)</f>
        <v/>
      </c>
      <c r="AZ72" s="12" t="str">
        <f>IF(検体毎項目情報!H73="","",検体毎項目情報!H73)</f>
        <v/>
      </c>
      <c r="BA72" s="12" t="str">
        <f>IF(検体毎項目情報!I73="","",検体毎項目情報!I73)</f>
        <v/>
      </c>
      <c r="BB72" s="12" t="str">
        <f>IF(検体毎項目情報!J73="","",検体毎項目情報!J73)</f>
        <v/>
      </c>
      <c r="BC72" s="12" t="str">
        <f>IF(検体毎項目情報!K73="","",検体毎項目情報!K73)</f>
        <v/>
      </c>
      <c r="BD72" s="12" t="str">
        <f>IF(検体毎項目情報!L73="","",検体毎項目情報!L73)</f>
        <v/>
      </c>
      <c r="BE72" s="12" t="str">
        <f>IF(検体毎項目情報!M73="","",検体毎項目情報!M73)</f>
        <v/>
      </c>
      <c r="BF72" s="12" t="str">
        <f>IF(検体毎項目情報!N73="","",検体毎項目情報!N73)</f>
        <v/>
      </c>
      <c r="BG72" s="12" t="str">
        <f>IF(検体毎項目情報!O73="","",検体毎項目情報!O73)</f>
        <v/>
      </c>
      <c r="BH72" s="12" t="str">
        <f>IF(検体毎項目情報!P73="","",検体毎項目情報!P73)</f>
        <v/>
      </c>
      <c r="BI72" s="12" t="str">
        <f>IF(検体毎項目情報!Q73="","",検体毎項目情報!Q73)</f>
        <v/>
      </c>
      <c r="BJ72" s="12" t="str">
        <f>IF(検体毎項目情報!R73="","",検体毎項目情報!R73)</f>
        <v/>
      </c>
      <c r="BK72" s="12" t="str">
        <f>IF(検体毎項目情報!S73="","",検体毎項目情報!S73)</f>
        <v/>
      </c>
      <c r="BL72" s="12" t="str">
        <f>IF(検体毎項目情報!T73="","",検体毎項目情報!T73)</f>
        <v/>
      </c>
      <c r="BM72" s="12" t="str">
        <f>IF(検体毎項目情報!U73="","",検体毎項目情報!U73)</f>
        <v/>
      </c>
      <c r="BN72" s="12" t="str">
        <f>IF(検体毎項目情報!V73="","",検体毎項目情報!V73)</f>
        <v/>
      </c>
      <c r="BO72" s="12" t="str">
        <f>IF(検体毎項目情報!W73="","",検体毎項目情報!W73)</f>
        <v/>
      </c>
      <c r="BP72" s="12" t="str">
        <f>IF(検体毎項目情報!X73="","",検体毎項目情報!X73)</f>
        <v/>
      </c>
    </row>
    <row r="73" spans="44:68">
      <c r="AR73" s="32" t="str">
        <f>IF(AS73="","",COUNTIF(費用項目一覧!A:A,判定詳細!AU73))</f>
        <v/>
      </c>
      <c r="AS73" s="12" t="str">
        <f>IF(検体毎項目情報!A74="","",検体毎項目情報!A74)</f>
        <v/>
      </c>
      <c r="AT73" s="12" t="str">
        <f>IF(検体毎項目情報!B74="","",検体毎項目情報!B74)</f>
        <v/>
      </c>
      <c r="AU73" s="12" t="str">
        <f>IF(検体毎項目情報!C74="","",検体毎項目情報!C74)</f>
        <v/>
      </c>
      <c r="AV73" s="12" t="str">
        <f>IF(検体毎項目情報!D74="","",検体毎項目情報!D74)</f>
        <v/>
      </c>
      <c r="AW73" s="12" t="str">
        <f>IF(検体毎項目情報!E74="","",検体毎項目情報!E74)</f>
        <v/>
      </c>
      <c r="AX73" s="12" t="str">
        <f>IF(検体毎項目情報!F74="","",検体毎項目情報!F74)</f>
        <v/>
      </c>
      <c r="AY73" s="12" t="str">
        <f>IF(検体毎項目情報!G74="","",検体毎項目情報!G74)</f>
        <v/>
      </c>
      <c r="AZ73" s="12" t="str">
        <f>IF(検体毎項目情報!H74="","",検体毎項目情報!H74)</f>
        <v/>
      </c>
      <c r="BA73" s="12" t="str">
        <f>IF(検体毎項目情報!I74="","",検体毎項目情報!I74)</f>
        <v/>
      </c>
      <c r="BB73" s="12" t="str">
        <f>IF(検体毎項目情報!J74="","",検体毎項目情報!J74)</f>
        <v/>
      </c>
      <c r="BC73" s="12" t="str">
        <f>IF(検体毎項目情報!K74="","",検体毎項目情報!K74)</f>
        <v/>
      </c>
      <c r="BD73" s="12" t="str">
        <f>IF(検体毎項目情報!L74="","",検体毎項目情報!L74)</f>
        <v/>
      </c>
      <c r="BE73" s="12" t="str">
        <f>IF(検体毎項目情報!M74="","",検体毎項目情報!M74)</f>
        <v/>
      </c>
      <c r="BF73" s="12" t="str">
        <f>IF(検体毎項目情報!N74="","",検体毎項目情報!N74)</f>
        <v/>
      </c>
      <c r="BG73" s="12" t="str">
        <f>IF(検体毎項目情報!O74="","",検体毎項目情報!O74)</f>
        <v/>
      </c>
      <c r="BH73" s="12" t="str">
        <f>IF(検体毎項目情報!P74="","",検体毎項目情報!P74)</f>
        <v/>
      </c>
      <c r="BI73" s="12" t="str">
        <f>IF(検体毎項目情報!Q74="","",検体毎項目情報!Q74)</f>
        <v/>
      </c>
      <c r="BJ73" s="12" t="str">
        <f>IF(検体毎項目情報!R74="","",検体毎項目情報!R74)</f>
        <v/>
      </c>
      <c r="BK73" s="12" t="str">
        <f>IF(検体毎項目情報!S74="","",検体毎項目情報!S74)</f>
        <v/>
      </c>
      <c r="BL73" s="12" t="str">
        <f>IF(検体毎項目情報!T74="","",検体毎項目情報!T74)</f>
        <v/>
      </c>
      <c r="BM73" s="12" t="str">
        <f>IF(検体毎項目情報!U74="","",検体毎項目情報!U74)</f>
        <v/>
      </c>
      <c r="BN73" s="12" t="str">
        <f>IF(検体毎項目情報!V74="","",検体毎項目情報!V74)</f>
        <v/>
      </c>
      <c r="BO73" s="12" t="str">
        <f>IF(検体毎項目情報!W74="","",検体毎項目情報!W74)</f>
        <v/>
      </c>
      <c r="BP73" s="12" t="str">
        <f>IF(検体毎項目情報!X74="","",検体毎項目情報!X74)</f>
        <v/>
      </c>
    </row>
    <row r="74" spans="44:68">
      <c r="AR74" s="32" t="str">
        <f>IF(AS74="","",COUNTIF(費用項目一覧!A:A,判定詳細!AU74))</f>
        <v/>
      </c>
      <c r="AS74" s="12" t="str">
        <f>IF(検体毎項目情報!A75="","",検体毎項目情報!A75)</f>
        <v/>
      </c>
      <c r="AT74" s="12" t="str">
        <f>IF(検体毎項目情報!B75="","",検体毎項目情報!B75)</f>
        <v/>
      </c>
      <c r="AU74" s="12" t="str">
        <f>IF(検体毎項目情報!C75="","",検体毎項目情報!C75)</f>
        <v/>
      </c>
      <c r="AV74" s="12" t="str">
        <f>IF(検体毎項目情報!D75="","",検体毎項目情報!D75)</f>
        <v/>
      </c>
      <c r="AW74" s="12" t="str">
        <f>IF(検体毎項目情報!E75="","",検体毎項目情報!E75)</f>
        <v/>
      </c>
      <c r="AX74" s="12" t="str">
        <f>IF(検体毎項目情報!F75="","",検体毎項目情報!F75)</f>
        <v/>
      </c>
      <c r="AY74" s="12" t="str">
        <f>IF(検体毎項目情報!G75="","",検体毎項目情報!G75)</f>
        <v/>
      </c>
      <c r="AZ74" s="12" t="str">
        <f>IF(検体毎項目情報!H75="","",検体毎項目情報!H75)</f>
        <v/>
      </c>
      <c r="BA74" s="12" t="str">
        <f>IF(検体毎項目情報!I75="","",検体毎項目情報!I75)</f>
        <v/>
      </c>
      <c r="BB74" s="12" t="str">
        <f>IF(検体毎項目情報!J75="","",検体毎項目情報!J75)</f>
        <v/>
      </c>
      <c r="BC74" s="12" t="str">
        <f>IF(検体毎項目情報!K75="","",検体毎項目情報!K75)</f>
        <v/>
      </c>
      <c r="BD74" s="12" t="str">
        <f>IF(検体毎項目情報!L75="","",検体毎項目情報!L75)</f>
        <v/>
      </c>
      <c r="BE74" s="12" t="str">
        <f>IF(検体毎項目情報!M75="","",検体毎項目情報!M75)</f>
        <v/>
      </c>
      <c r="BF74" s="12" t="str">
        <f>IF(検体毎項目情報!N75="","",検体毎項目情報!N75)</f>
        <v/>
      </c>
      <c r="BG74" s="12" t="str">
        <f>IF(検体毎項目情報!O75="","",検体毎項目情報!O75)</f>
        <v/>
      </c>
      <c r="BH74" s="12" t="str">
        <f>IF(検体毎項目情報!P75="","",検体毎項目情報!P75)</f>
        <v/>
      </c>
      <c r="BI74" s="12" t="str">
        <f>IF(検体毎項目情報!Q75="","",検体毎項目情報!Q75)</f>
        <v/>
      </c>
      <c r="BJ74" s="12" t="str">
        <f>IF(検体毎項目情報!R75="","",検体毎項目情報!R75)</f>
        <v/>
      </c>
      <c r="BK74" s="12" t="str">
        <f>IF(検体毎項目情報!S75="","",検体毎項目情報!S75)</f>
        <v/>
      </c>
      <c r="BL74" s="12" t="str">
        <f>IF(検体毎項目情報!T75="","",検体毎項目情報!T75)</f>
        <v/>
      </c>
      <c r="BM74" s="12" t="str">
        <f>IF(検体毎項目情報!U75="","",検体毎項目情報!U75)</f>
        <v/>
      </c>
      <c r="BN74" s="12" t="str">
        <f>IF(検体毎項目情報!V75="","",検体毎項目情報!V75)</f>
        <v/>
      </c>
      <c r="BO74" s="12" t="str">
        <f>IF(検体毎項目情報!W75="","",検体毎項目情報!W75)</f>
        <v/>
      </c>
      <c r="BP74" s="12" t="str">
        <f>IF(検体毎項目情報!X75="","",検体毎項目情報!X75)</f>
        <v/>
      </c>
    </row>
    <row r="75" spans="44:68">
      <c r="AR75" s="32" t="str">
        <f>IF(AS75="","",COUNTIF(費用項目一覧!A:A,判定詳細!AU75))</f>
        <v/>
      </c>
      <c r="AS75" s="12" t="str">
        <f>IF(検体毎項目情報!A76="","",検体毎項目情報!A76)</f>
        <v/>
      </c>
      <c r="AT75" s="12" t="str">
        <f>IF(検体毎項目情報!B76="","",検体毎項目情報!B76)</f>
        <v/>
      </c>
      <c r="AU75" s="12" t="str">
        <f>IF(検体毎項目情報!C76="","",検体毎項目情報!C76)</f>
        <v/>
      </c>
      <c r="AV75" s="12" t="str">
        <f>IF(検体毎項目情報!D76="","",検体毎項目情報!D76)</f>
        <v/>
      </c>
      <c r="AW75" s="12" t="str">
        <f>IF(検体毎項目情報!E76="","",検体毎項目情報!E76)</f>
        <v/>
      </c>
      <c r="AX75" s="12" t="str">
        <f>IF(検体毎項目情報!F76="","",検体毎項目情報!F76)</f>
        <v/>
      </c>
      <c r="AY75" s="12" t="str">
        <f>IF(検体毎項目情報!G76="","",検体毎項目情報!G76)</f>
        <v/>
      </c>
      <c r="AZ75" s="12" t="str">
        <f>IF(検体毎項目情報!H76="","",検体毎項目情報!H76)</f>
        <v/>
      </c>
      <c r="BA75" s="12" t="str">
        <f>IF(検体毎項目情報!I76="","",検体毎項目情報!I76)</f>
        <v/>
      </c>
      <c r="BB75" s="12" t="str">
        <f>IF(検体毎項目情報!J76="","",検体毎項目情報!J76)</f>
        <v/>
      </c>
      <c r="BC75" s="12" t="str">
        <f>IF(検体毎項目情報!K76="","",検体毎項目情報!K76)</f>
        <v/>
      </c>
      <c r="BD75" s="12" t="str">
        <f>IF(検体毎項目情報!L76="","",検体毎項目情報!L76)</f>
        <v/>
      </c>
      <c r="BE75" s="12" t="str">
        <f>IF(検体毎項目情報!M76="","",検体毎項目情報!M76)</f>
        <v/>
      </c>
      <c r="BF75" s="12" t="str">
        <f>IF(検体毎項目情報!N76="","",検体毎項目情報!N76)</f>
        <v/>
      </c>
      <c r="BG75" s="12" t="str">
        <f>IF(検体毎項目情報!O76="","",検体毎項目情報!O76)</f>
        <v/>
      </c>
      <c r="BH75" s="12" t="str">
        <f>IF(検体毎項目情報!P76="","",検体毎項目情報!P76)</f>
        <v/>
      </c>
      <c r="BI75" s="12" t="str">
        <f>IF(検体毎項目情報!Q76="","",検体毎項目情報!Q76)</f>
        <v/>
      </c>
      <c r="BJ75" s="12" t="str">
        <f>IF(検体毎項目情報!R76="","",検体毎項目情報!R76)</f>
        <v/>
      </c>
      <c r="BK75" s="12" t="str">
        <f>IF(検体毎項目情報!S76="","",検体毎項目情報!S76)</f>
        <v/>
      </c>
      <c r="BL75" s="12" t="str">
        <f>IF(検体毎項目情報!T76="","",検体毎項目情報!T76)</f>
        <v/>
      </c>
      <c r="BM75" s="12" t="str">
        <f>IF(検体毎項目情報!U76="","",検体毎項目情報!U76)</f>
        <v/>
      </c>
      <c r="BN75" s="12" t="str">
        <f>IF(検体毎項目情報!V76="","",検体毎項目情報!V76)</f>
        <v/>
      </c>
      <c r="BO75" s="12" t="str">
        <f>IF(検体毎項目情報!W76="","",検体毎項目情報!W76)</f>
        <v/>
      </c>
      <c r="BP75" s="12" t="str">
        <f>IF(検体毎項目情報!X76="","",検体毎項目情報!X76)</f>
        <v/>
      </c>
    </row>
    <row r="76" spans="44:68">
      <c r="AR76" s="32" t="str">
        <f>IF(AS76="","",COUNTIF(費用項目一覧!A:A,判定詳細!AU76))</f>
        <v/>
      </c>
      <c r="AS76" s="12" t="str">
        <f>IF(検体毎項目情報!A77="","",検体毎項目情報!A77)</f>
        <v/>
      </c>
      <c r="AT76" s="12" t="str">
        <f>IF(検体毎項目情報!B77="","",検体毎項目情報!B77)</f>
        <v/>
      </c>
      <c r="AU76" s="12" t="str">
        <f>IF(検体毎項目情報!C77="","",検体毎項目情報!C77)</f>
        <v/>
      </c>
      <c r="AV76" s="12" t="str">
        <f>IF(検体毎項目情報!D77="","",検体毎項目情報!D77)</f>
        <v/>
      </c>
      <c r="AW76" s="12" t="str">
        <f>IF(検体毎項目情報!E77="","",検体毎項目情報!E77)</f>
        <v/>
      </c>
      <c r="AX76" s="12" t="str">
        <f>IF(検体毎項目情報!F77="","",検体毎項目情報!F77)</f>
        <v/>
      </c>
      <c r="AY76" s="12" t="str">
        <f>IF(検体毎項目情報!G77="","",検体毎項目情報!G77)</f>
        <v/>
      </c>
      <c r="AZ76" s="12" t="str">
        <f>IF(検体毎項目情報!H77="","",検体毎項目情報!H77)</f>
        <v/>
      </c>
      <c r="BA76" s="12" t="str">
        <f>IF(検体毎項目情報!I77="","",検体毎項目情報!I77)</f>
        <v/>
      </c>
      <c r="BB76" s="12" t="str">
        <f>IF(検体毎項目情報!J77="","",検体毎項目情報!J77)</f>
        <v/>
      </c>
      <c r="BC76" s="12" t="str">
        <f>IF(検体毎項目情報!K77="","",検体毎項目情報!K77)</f>
        <v/>
      </c>
      <c r="BD76" s="12" t="str">
        <f>IF(検体毎項目情報!L77="","",検体毎項目情報!L77)</f>
        <v/>
      </c>
      <c r="BE76" s="12" t="str">
        <f>IF(検体毎項目情報!M77="","",検体毎項目情報!M77)</f>
        <v/>
      </c>
      <c r="BF76" s="12" t="str">
        <f>IF(検体毎項目情報!N77="","",検体毎項目情報!N77)</f>
        <v/>
      </c>
      <c r="BG76" s="12" t="str">
        <f>IF(検体毎項目情報!O77="","",検体毎項目情報!O77)</f>
        <v/>
      </c>
      <c r="BH76" s="12" t="str">
        <f>IF(検体毎項目情報!P77="","",検体毎項目情報!P77)</f>
        <v/>
      </c>
      <c r="BI76" s="12" t="str">
        <f>IF(検体毎項目情報!Q77="","",検体毎項目情報!Q77)</f>
        <v/>
      </c>
      <c r="BJ76" s="12" t="str">
        <f>IF(検体毎項目情報!R77="","",検体毎項目情報!R77)</f>
        <v/>
      </c>
      <c r="BK76" s="12" t="str">
        <f>IF(検体毎項目情報!S77="","",検体毎項目情報!S77)</f>
        <v/>
      </c>
      <c r="BL76" s="12" t="str">
        <f>IF(検体毎項目情報!T77="","",検体毎項目情報!T77)</f>
        <v/>
      </c>
      <c r="BM76" s="12" t="str">
        <f>IF(検体毎項目情報!U77="","",検体毎項目情報!U77)</f>
        <v/>
      </c>
      <c r="BN76" s="12" t="str">
        <f>IF(検体毎項目情報!V77="","",検体毎項目情報!V77)</f>
        <v/>
      </c>
      <c r="BO76" s="12" t="str">
        <f>IF(検体毎項目情報!W77="","",検体毎項目情報!W77)</f>
        <v/>
      </c>
      <c r="BP76" s="12" t="str">
        <f>IF(検体毎項目情報!X77="","",検体毎項目情報!X77)</f>
        <v/>
      </c>
    </row>
    <row r="77" spans="44:68">
      <c r="AR77" s="32" t="str">
        <f>IF(AS77="","",COUNTIF(費用項目一覧!A:A,判定詳細!AU77))</f>
        <v/>
      </c>
      <c r="AS77" s="12" t="str">
        <f>IF(検体毎項目情報!A78="","",検体毎項目情報!A78)</f>
        <v/>
      </c>
      <c r="AT77" s="12" t="str">
        <f>IF(検体毎項目情報!B78="","",検体毎項目情報!B78)</f>
        <v/>
      </c>
      <c r="AU77" s="12" t="str">
        <f>IF(検体毎項目情報!C78="","",検体毎項目情報!C78)</f>
        <v/>
      </c>
      <c r="AV77" s="12" t="str">
        <f>IF(検体毎項目情報!D78="","",検体毎項目情報!D78)</f>
        <v/>
      </c>
      <c r="AW77" s="12" t="str">
        <f>IF(検体毎項目情報!E78="","",検体毎項目情報!E78)</f>
        <v/>
      </c>
      <c r="AX77" s="12" t="str">
        <f>IF(検体毎項目情報!F78="","",検体毎項目情報!F78)</f>
        <v/>
      </c>
      <c r="AY77" s="12" t="str">
        <f>IF(検体毎項目情報!G78="","",検体毎項目情報!G78)</f>
        <v/>
      </c>
      <c r="AZ77" s="12" t="str">
        <f>IF(検体毎項目情報!H78="","",検体毎項目情報!H78)</f>
        <v/>
      </c>
      <c r="BA77" s="12" t="str">
        <f>IF(検体毎項目情報!I78="","",検体毎項目情報!I78)</f>
        <v/>
      </c>
      <c r="BB77" s="12" t="str">
        <f>IF(検体毎項目情報!J78="","",検体毎項目情報!J78)</f>
        <v/>
      </c>
      <c r="BC77" s="12" t="str">
        <f>IF(検体毎項目情報!K78="","",検体毎項目情報!K78)</f>
        <v/>
      </c>
      <c r="BD77" s="12" t="str">
        <f>IF(検体毎項目情報!L78="","",検体毎項目情報!L78)</f>
        <v/>
      </c>
      <c r="BE77" s="12" t="str">
        <f>IF(検体毎項目情報!M78="","",検体毎項目情報!M78)</f>
        <v/>
      </c>
      <c r="BF77" s="12" t="str">
        <f>IF(検体毎項目情報!N78="","",検体毎項目情報!N78)</f>
        <v/>
      </c>
      <c r="BG77" s="12" t="str">
        <f>IF(検体毎項目情報!O78="","",検体毎項目情報!O78)</f>
        <v/>
      </c>
      <c r="BH77" s="12" t="str">
        <f>IF(検体毎項目情報!P78="","",検体毎項目情報!P78)</f>
        <v/>
      </c>
      <c r="BI77" s="12" t="str">
        <f>IF(検体毎項目情報!Q78="","",検体毎項目情報!Q78)</f>
        <v/>
      </c>
      <c r="BJ77" s="12" t="str">
        <f>IF(検体毎項目情報!R78="","",検体毎項目情報!R78)</f>
        <v/>
      </c>
      <c r="BK77" s="12" t="str">
        <f>IF(検体毎項目情報!S78="","",検体毎項目情報!S78)</f>
        <v/>
      </c>
      <c r="BL77" s="12" t="str">
        <f>IF(検体毎項目情報!T78="","",検体毎項目情報!T78)</f>
        <v/>
      </c>
      <c r="BM77" s="12" t="str">
        <f>IF(検体毎項目情報!U78="","",検体毎項目情報!U78)</f>
        <v/>
      </c>
      <c r="BN77" s="12" t="str">
        <f>IF(検体毎項目情報!V78="","",検体毎項目情報!V78)</f>
        <v/>
      </c>
      <c r="BO77" s="12" t="str">
        <f>IF(検体毎項目情報!W78="","",検体毎項目情報!W78)</f>
        <v/>
      </c>
      <c r="BP77" s="12" t="str">
        <f>IF(検体毎項目情報!X78="","",検体毎項目情報!X78)</f>
        <v/>
      </c>
    </row>
    <row r="78" spans="44:68">
      <c r="AR78" s="32" t="str">
        <f>IF(AS78="","",COUNTIF(費用項目一覧!A:A,判定詳細!AU78))</f>
        <v/>
      </c>
      <c r="AS78" s="12" t="str">
        <f>IF(検体毎項目情報!A79="","",検体毎項目情報!A79)</f>
        <v/>
      </c>
      <c r="AT78" s="12" t="str">
        <f>IF(検体毎項目情報!B79="","",検体毎項目情報!B79)</f>
        <v/>
      </c>
      <c r="AU78" s="12" t="str">
        <f>IF(検体毎項目情報!C79="","",検体毎項目情報!C79)</f>
        <v/>
      </c>
      <c r="AV78" s="12" t="str">
        <f>IF(検体毎項目情報!D79="","",検体毎項目情報!D79)</f>
        <v/>
      </c>
      <c r="AW78" s="12" t="str">
        <f>IF(検体毎項目情報!E79="","",検体毎項目情報!E79)</f>
        <v/>
      </c>
      <c r="AX78" s="12" t="str">
        <f>IF(検体毎項目情報!F79="","",検体毎項目情報!F79)</f>
        <v/>
      </c>
      <c r="AY78" s="12" t="str">
        <f>IF(検体毎項目情報!G79="","",検体毎項目情報!G79)</f>
        <v/>
      </c>
      <c r="AZ78" s="12" t="str">
        <f>IF(検体毎項目情報!H79="","",検体毎項目情報!H79)</f>
        <v/>
      </c>
      <c r="BA78" s="12" t="str">
        <f>IF(検体毎項目情報!I79="","",検体毎項目情報!I79)</f>
        <v/>
      </c>
      <c r="BB78" s="12" t="str">
        <f>IF(検体毎項目情報!J79="","",検体毎項目情報!J79)</f>
        <v/>
      </c>
      <c r="BC78" s="12" t="str">
        <f>IF(検体毎項目情報!K79="","",検体毎項目情報!K79)</f>
        <v/>
      </c>
      <c r="BD78" s="12" t="str">
        <f>IF(検体毎項目情報!L79="","",検体毎項目情報!L79)</f>
        <v/>
      </c>
      <c r="BE78" s="12" t="str">
        <f>IF(検体毎項目情報!M79="","",検体毎項目情報!M79)</f>
        <v/>
      </c>
      <c r="BF78" s="12" t="str">
        <f>IF(検体毎項目情報!N79="","",検体毎項目情報!N79)</f>
        <v/>
      </c>
      <c r="BG78" s="12" t="str">
        <f>IF(検体毎項目情報!O79="","",検体毎項目情報!O79)</f>
        <v/>
      </c>
      <c r="BH78" s="12" t="str">
        <f>IF(検体毎項目情報!P79="","",検体毎項目情報!P79)</f>
        <v/>
      </c>
      <c r="BI78" s="12" t="str">
        <f>IF(検体毎項目情報!Q79="","",検体毎項目情報!Q79)</f>
        <v/>
      </c>
      <c r="BJ78" s="12" t="str">
        <f>IF(検体毎項目情報!R79="","",検体毎項目情報!R79)</f>
        <v/>
      </c>
      <c r="BK78" s="12" t="str">
        <f>IF(検体毎項目情報!S79="","",検体毎項目情報!S79)</f>
        <v/>
      </c>
      <c r="BL78" s="12" t="str">
        <f>IF(検体毎項目情報!T79="","",検体毎項目情報!T79)</f>
        <v/>
      </c>
      <c r="BM78" s="12" t="str">
        <f>IF(検体毎項目情報!U79="","",検体毎項目情報!U79)</f>
        <v/>
      </c>
      <c r="BN78" s="12" t="str">
        <f>IF(検体毎項目情報!V79="","",検体毎項目情報!V79)</f>
        <v/>
      </c>
      <c r="BO78" s="12" t="str">
        <f>IF(検体毎項目情報!W79="","",検体毎項目情報!W79)</f>
        <v/>
      </c>
      <c r="BP78" s="12" t="str">
        <f>IF(検体毎項目情報!X79="","",検体毎項目情報!X79)</f>
        <v/>
      </c>
    </row>
    <row r="79" spans="44:68">
      <c r="AR79" s="32" t="str">
        <f>IF(AS79="","",COUNTIF(費用項目一覧!A:A,判定詳細!AU79))</f>
        <v/>
      </c>
      <c r="AS79" s="12" t="str">
        <f>IF(検体毎項目情報!A80="","",検体毎項目情報!A80)</f>
        <v/>
      </c>
      <c r="AT79" s="12" t="str">
        <f>IF(検体毎項目情報!B80="","",検体毎項目情報!B80)</f>
        <v/>
      </c>
      <c r="AU79" s="12" t="str">
        <f>IF(検体毎項目情報!C80="","",検体毎項目情報!C80)</f>
        <v/>
      </c>
      <c r="AV79" s="12" t="str">
        <f>IF(検体毎項目情報!D80="","",検体毎項目情報!D80)</f>
        <v/>
      </c>
      <c r="AW79" s="12" t="str">
        <f>IF(検体毎項目情報!E80="","",検体毎項目情報!E80)</f>
        <v/>
      </c>
      <c r="AX79" s="12" t="str">
        <f>IF(検体毎項目情報!F80="","",検体毎項目情報!F80)</f>
        <v/>
      </c>
      <c r="AY79" s="12" t="str">
        <f>IF(検体毎項目情報!G80="","",検体毎項目情報!G80)</f>
        <v/>
      </c>
      <c r="AZ79" s="12" t="str">
        <f>IF(検体毎項目情報!H80="","",検体毎項目情報!H80)</f>
        <v/>
      </c>
      <c r="BA79" s="12" t="str">
        <f>IF(検体毎項目情報!I80="","",検体毎項目情報!I80)</f>
        <v/>
      </c>
      <c r="BB79" s="12" t="str">
        <f>IF(検体毎項目情報!J80="","",検体毎項目情報!J80)</f>
        <v/>
      </c>
      <c r="BC79" s="12" t="str">
        <f>IF(検体毎項目情報!K80="","",検体毎項目情報!K80)</f>
        <v/>
      </c>
      <c r="BD79" s="12" t="str">
        <f>IF(検体毎項目情報!L80="","",検体毎項目情報!L80)</f>
        <v/>
      </c>
      <c r="BE79" s="12" t="str">
        <f>IF(検体毎項目情報!M80="","",検体毎項目情報!M80)</f>
        <v/>
      </c>
      <c r="BF79" s="12" t="str">
        <f>IF(検体毎項目情報!N80="","",検体毎項目情報!N80)</f>
        <v/>
      </c>
      <c r="BG79" s="12" t="str">
        <f>IF(検体毎項目情報!O80="","",検体毎項目情報!O80)</f>
        <v/>
      </c>
      <c r="BH79" s="12" t="str">
        <f>IF(検体毎項目情報!P80="","",検体毎項目情報!P80)</f>
        <v/>
      </c>
      <c r="BI79" s="12" t="str">
        <f>IF(検体毎項目情報!Q80="","",検体毎項目情報!Q80)</f>
        <v/>
      </c>
      <c r="BJ79" s="12" t="str">
        <f>IF(検体毎項目情報!R80="","",検体毎項目情報!R80)</f>
        <v/>
      </c>
      <c r="BK79" s="12" t="str">
        <f>IF(検体毎項目情報!S80="","",検体毎項目情報!S80)</f>
        <v/>
      </c>
      <c r="BL79" s="12" t="str">
        <f>IF(検体毎項目情報!T80="","",検体毎項目情報!T80)</f>
        <v/>
      </c>
      <c r="BM79" s="12" t="str">
        <f>IF(検体毎項目情報!U80="","",検体毎項目情報!U80)</f>
        <v/>
      </c>
      <c r="BN79" s="12" t="str">
        <f>IF(検体毎項目情報!V80="","",検体毎項目情報!V80)</f>
        <v/>
      </c>
      <c r="BO79" s="12" t="str">
        <f>IF(検体毎項目情報!W80="","",検体毎項目情報!W80)</f>
        <v/>
      </c>
      <c r="BP79" s="12" t="str">
        <f>IF(検体毎項目情報!X80="","",検体毎項目情報!X80)</f>
        <v/>
      </c>
    </row>
    <row r="80" spans="44:68">
      <c r="AR80" s="32" t="str">
        <f>IF(AS80="","",COUNTIF(費用項目一覧!A:A,判定詳細!AU80))</f>
        <v/>
      </c>
      <c r="AS80" s="12" t="str">
        <f>IF(検体毎項目情報!A81="","",検体毎項目情報!A81)</f>
        <v/>
      </c>
      <c r="AT80" s="12" t="str">
        <f>IF(検体毎項目情報!B81="","",検体毎項目情報!B81)</f>
        <v/>
      </c>
      <c r="AU80" s="12" t="str">
        <f>IF(検体毎項目情報!C81="","",検体毎項目情報!C81)</f>
        <v/>
      </c>
      <c r="AV80" s="12" t="str">
        <f>IF(検体毎項目情報!D81="","",検体毎項目情報!D81)</f>
        <v/>
      </c>
      <c r="AW80" s="12" t="str">
        <f>IF(検体毎項目情報!E81="","",検体毎項目情報!E81)</f>
        <v/>
      </c>
      <c r="AX80" s="12" t="str">
        <f>IF(検体毎項目情報!F81="","",検体毎項目情報!F81)</f>
        <v/>
      </c>
      <c r="AY80" s="12" t="str">
        <f>IF(検体毎項目情報!G81="","",検体毎項目情報!G81)</f>
        <v/>
      </c>
      <c r="AZ80" s="12" t="str">
        <f>IF(検体毎項目情報!H81="","",検体毎項目情報!H81)</f>
        <v/>
      </c>
      <c r="BA80" s="12" t="str">
        <f>IF(検体毎項目情報!I81="","",検体毎項目情報!I81)</f>
        <v/>
      </c>
      <c r="BB80" s="12" t="str">
        <f>IF(検体毎項目情報!J81="","",検体毎項目情報!J81)</f>
        <v/>
      </c>
      <c r="BC80" s="12" t="str">
        <f>IF(検体毎項目情報!K81="","",検体毎項目情報!K81)</f>
        <v/>
      </c>
      <c r="BD80" s="12" t="str">
        <f>IF(検体毎項目情報!L81="","",検体毎項目情報!L81)</f>
        <v/>
      </c>
      <c r="BE80" s="12" t="str">
        <f>IF(検体毎項目情報!M81="","",検体毎項目情報!M81)</f>
        <v/>
      </c>
      <c r="BF80" s="12" t="str">
        <f>IF(検体毎項目情報!N81="","",検体毎項目情報!N81)</f>
        <v/>
      </c>
      <c r="BG80" s="12" t="str">
        <f>IF(検体毎項目情報!O81="","",検体毎項目情報!O81)</f>
        <v/>
      </c>
      <c r="BH80" s="12" t="str">
        <f>IF(検体毎項目情報!P81="","",検体毎項目情報!P81)</f>
        <v/>
      </c>
      <c r="BI80" s="12" t="str">
        <f>IF(検体毎項目情報!Q81="","",検体毎項目情報!Q81)</f>
        <v/>
      </c>
      <c r="BJ80" s="12" t="str">
        <f>IF(検体毎項目情報!R81="","",検体毎項目情報!R81)</f>
        <v/>
      </c>
      <c r="BK80" s="12" t="str">
        <f>IF(検体毎項目情報!S81="","",検体毎項目情報!S81)</f>
        <v/>
      </c>
      <c r="BL80" s="12" t="str">
        <f>IF(検体毎項目情報!T81="","",検体毎項目情報!T81)</f>
        <v/>
      </c>
      <c r="BM80" s="12" t="str">
        <f>IF(検体毎項目情報!U81="","",検体毎項目情報!U81)</f>
        <v/>
      </c>
      <c r="BN80" s="12" t="str">
        <f>IF(検体毎項目情報!V81="","",検体毎項目情報!V81)</f>
        <v/>
      </c>
      <c r="BO80" s="12" t="str">
        <f>IF(検体毎項目情報!W81="","",検体毎項目情報!W81)</f>
        <v/>
      </c>
      <c r="BP80" s="12" t="str">
        <f>IF(検体毎項目情報!X81="","",検体毎項目情報!X81)</f>
        <v/>
      </c>
    </row>
    <row r="81" spans="44:68">
      <c r="AR81" s="32" t="str">
        <f>IF(AS81="","",COUNTIF(費用項目一覧!A:A,判定詳細!AU81))</f>
        <v/>
      </c>
      <c r="AS81" s="12" t="str">
        <f>IF(検体毎項目情報!A82="","",検体毎項目情報!A82)</f>
        <v/>
      </c>
      <c r="AT81" s="12" t="str">
        <f>IF(検体毎項目情報!B82="","",検体毎項目情報!B82)</f>
        <v/>
      </c>
      <c r="AU81" s="12" t="str">
        <f>IF(検体毎項目情報!C82="","",検体毎項目情報!C82)</f>
        <v/>
      </c>
      <c r="AV81" s="12" t="str">
        <f>IF(検体毎項目情報!D82="","",検体毎項目情報!D82)</f>
        <v/>
      </c>
      <c r="AW81" s="12" t="str">
        <f>IF(検体毎項目情報!E82="","",検体毎項目情報!E82)</f>
        <v/>
      </c>
      <c r="AX81" s="12" t="str">
        <f>IF(検体毎項目情報!F82="","",検体毎項目情報!F82)</f>
        <v/>
      </c>
      <c r="AY81" s="12" t="str">
        <f>IF(検体毎項目情報!G82="","",検体毎項目情報!G82)</f>
        <v/>
      </c>
      <c r="AZ81" s="12" t="str">
        <f>IF(検体毎項目情報!H82="","",検体毎項目情報!H82)</f>
        <v/>
      </c>
      <c r="BA81" s="12" t="str">
        <f>IF(検体毎項目情報!I82="","",検体毎項目情報!I82)</f>
        <v/>
      </c>
      <c r="BB81" s="12" t="str">
        <f>IF(検体毎項目情報!J82="","",検体毎項目情報!J82)</f>
        <v/>
      </c>
      <c r="BC81" s="12" t="str">
        <f>IF(検体毎項目情報!K82="","",検体毎項目情報!K82)</f>
        <v/>
      </c>
      <c r="BD81" s="12" t="str">
        <f>IF(検体毎項目情報!L82="","",検体毎項目情報!L82)</f>
        <v/>
      </c>
      <c r="BE81" s="12" t="str">
        <f>IF(検体毎項目情報!M82="","",検体毎項目情報!M82)</f>
        <v/>
      </c>
      <c r="BF81" s="12" t="str">
        <f>IF(検体毎項目情報!N82="","",検体毎項目情報!N82)</f>
        <v/>
      </c>
      <c r="BG81" s="12" t="str">
        <f>IF(検体毎項目情報!O82="","",検体毎項目情報!O82)</f>
        <v/>
      </c>
      <c r="BH81" s="12" t="str">
        <f>IF(検体毎項目情報!P82="","",検体毎項目情報!P82)</f>
        <v/>
      </c>
      <c r="BI81" s="12" t="str">
        <f>IF(検体毎項目情報!Q82="","",検体毎項目情報!Q82)</f>
        <v/>
      </c>
      <c r="BJ81" s="12" t="str">
        <f>IF(検体毎項目情報!R82="","",検体毎項目情報!R82)</f>
        <v/>
      </c>
      <c r="BK81" s="12" t="str">
        <f>IF(検体毎項目情報!S82="","",検体毎項目情報!S82)</f>
        <v/>
      </c>
      <c r="BL81" s="12" t="str">
        <f>IF(検体毎項目情報!T82="","",検体毎項目情報!T82)</f>
        <v/>
      </c>
      <c r="BM81" s="12" t="str">
        <f>IF(検体毎項目情報!U82="","",検体毎項目情報!U82)</f>
        <v/>
      </c>
      <c r="BN81" s="12" t="str">
        <f>IF(検体毎項目情報!V82="","",検体毎項目情報!V82)</f>
        <v/>
      </c>
      <c r="BO81" s="12" t="str">
        <f>IF(検体毎項目情報!W82="","",検体毎項目情報!W82)</f>
        <v/>
      </c>
      <c r="BP81" s="12" t="str">
        <f>IF(検体毎項目情報!X82="","",検体毎項目情報!X82)</f>
        <v/>
      </c>
    </row>
    <row r="82" spans="44:68">
      <c r="AR82" s="32" t="str">
        <f>IF(AS82="","",COUNTIF(費用項目一覧!A:A,判定詳細!AU82))</f>
        <v/>
      </c>
      <c r="AS82" s="12" t="str">
        <f>IF(検体毎項目情報!A83="","",検体毎項目情報!A83)</f>
        <v/>
      </c>
      <c r="AT82" s="12" t="str">
        <f>IF(検体毎項目情報!B83="","",検体毎項目情報!B83)</f>
        <v/>
      </c>
      <c r="AU82" s="12" t="str">
        <f>IF(検体毎項目情報!C83="","",検体毎項目情報!C83)</f>
        <v/>
      </c>
      <c r="AV82" s="12" t="str">
        <f>IF(検体毎項目情報!D83="","",検体毎項目情報!D83)</f>
        <v/>
      </c>
      <c r="AW82" s="12" t="str">
        <f>IF(検体毎項目情報!E83="","",検体毎項目情報!E83)</f>
        <v/>
      </c>
      <c r="AX82" s="12" t="str">
        <f>IF(検体毎項目情報!F83="","",検体毎項目情報!F83)</f>
        <v/>
      </c>
      <c r="AY82" s="12" t="str">
        <f>IF(検体毎項目情報!G83="","",検体毎項目情報!G83)</f>
        <v/>
      </c>
      <c r="AZ82" s="12" t="str">
        <f>IF(検体毎項目情報!H83="","",検体毎項目情報!H83)</f>
        <v/>
      </c>
      <c r="BA82" s="12" t="str">
        <f>IF(検体毎項目情報!I83="","",検体毎項目情報!I83)</f>
        <v/>
      </c>
      <c r="BB82" s="12" t="str">
        <f>IF(検体毎項目情報!J83="","",検体毎項目情報!J83)</f>
        <v/>
      </c>
      <c r="BC82" s="12" t="str">
        <f>IF(検体毎項目情報!K83="","",検体毎項目情報!K83)</f>
        <v/>
      </c>
      <c r="BD82" s="12" t="str">
        <f>IF(検体毎項目情報!L83="","",検体毎項目情報!L83)</f>
        <v/>
      </c>
      <c r="BE82" s="12" t="str">
        <f>IF(検体毎項目情報!M83="","",検体毎項目情報!M83)</f>
        <v/>
      </c>
      <c r="BF82" s="12" t="str">
        <f>IF(検体毎項目情報!N83="","",検体毎項目情報!N83)</f>
        <v/>
      </c>
      <c r="BG82" s="12" t="str">
        <f>IF(検体毎項目情報!O83="","",検体毎項目情報!O83)</f>
        <v/>
      </c>
      <c r="BH82" s="12" t="str">
        <f>IF(検体毎項目情報!P83="","",検体毎項目情報!P83)</f>
        <v/>
      </c>
      <c r="BI82" s="12" t="str">
        <f>IF(検体毎項目情報!Q83="","",検体毎項目情報!Q83)</f>
        <v/>
      </c>
      <c r="BJ82" s="12" t="str">
        <f>IF(検体毎項目情報!R83="","",検体毎項目情報!R83)</f>
        <v/>
      </c>
      <c r="BK82" s="12" t="str">
        <f>IF(検体毎項目情報!S83="","",検体毎項目情報!S83)</f>
        <v/>
      </c>
      <c r="BL82" s="12" t="str">
        <f>IF(検体毎項目情報!T83="","",検体毎項目情報!T83)</f>
        <v/>
      </c>
      <c r="BM82" s="12" t="str">
        <f>IF(検体毎項目情報!U83="","",検体毎項目情報!U83)</f>
        <v/>
      </c>
      <c r="BN82" s="12" t="str">
        <f>IF(検体毎項目情報!V83="","",検体毎項目情報!V83)</f>
        <v/>
      </c>
      <c r="BO82" s="12" t="str">
        <f>IF(検体毎項目情報!W83="","",検体毎項目情報!W83)</f>
        <v/>
      </c>
      <c r="BP82" s="12" t="str">
        <f>IF(検体毎項目情報!X83="","",検体毎項目情報!X83)</f>
        <v/>
      </c>
    </row>
    <row r="83" spans="44:68">
      <c r="AR83" s="32" t="str">
        <f>IF(AS83="","",COUNTIF(費用項目一覧!A:A,判定詳細!AU83))</f>
        <v/>
      </c>
      <c r="AS83" s="12" t="str">
        <f>IF(検体毎項目情報!A84="","",検体毎項目情報!A84)</f>
        <v/>
      </c>
      <c r="AT83" s="12" t="str">
        <f>IF(検体毎項目情報!B84="","",検体毎項目情報!B84)</f>
        <v/>
      </c>
      <c r="AU83" s="12" t="str">
        <f>IF(検体毎項目情報!C84="","",検体毎項目情報!C84)</f>
        <v/>
      </c>
      <c r="AV83" s="12" t="str">
        <f>IF(検体毎項目情報!D84="","",検体毎項目情報!D84)</f>
        <v/>
      </c>
      <c r="AW83" s="12" t="str">
        <f>IF(検体毎項目情報!E84="","",検体毎項目情報!E84)</f>
        <v/>
      </c>
      <c r="AX83" s="12" t="str">
        <f>IF(検体毎項目情報!F84="","",検体毎項目情報!F84)</f>
        <v/>
      </c>
      <c r="AY83" s="12" t="str">
        <f>IF(検体毎項目情報!G84="","",検体毎項目情報!G84)</f>
        <v/>
      </c>
      <c r="AZ83" s="12" t="str">
        <f>IF(検体毎項目情報!H84="","",検体毎項目情報!H84)</f>
        <v/>
      </c>
      <c r="BA83" s="12" t="str">
        <f>IF(検体毎項目情報!I84="","",検体毎項目情報!I84)</f>
        <v/>
      </c>
      <c r="BB83" s="12" t="str">
        <f>IF(検体毎項目情報!J84="","",検体毎項目情報!J84)</f>
        <v/>
      </c>
      <c r="BC83" s="12" t="str">
        <f>IF(検体毎項目情報!K84="","",検体毎項目情報!K84)</f>
        <v/>
      </c>
      <c r="BD83" s="12" t="str">
        <f>IF(検体毎項目情報!L84="","",検体毎項目情報!L84)</f>
        <v/>
      </c>
      <c r="BE83" s="12" t="str">
        <f>IF(検体毎項目情報!M84="","",検体毎項目情報!M84)</f>
        <v/>
      </c>
      <c r="BF83" s="12" t="str">
        <f>IF(検体毎項目情報!N84="","",検体毎項目情報!N84)</f>
        <v/>
      </c>
      <c r="BG83" s="12" t="str">
        <f>IF(検体毎項目情報!O84="","",検体毎項目情報!O84)</f>
        <v/>
      </c>
      <c r="BH83" s="12" t="str">
        <f>IF(検体毎項目情報!P84="","",検体毎項目情報!P84)</f>
        <v/>
      </c>
      <c r="BI83" s="12" t="str">
        <f>IF(検体毎項目情報!Q84="","",検体毎項目情報!Q84)</f>
        <v/>
      </c>
      <c r="BJ83" s="12" t="str">
        <f>IF(検体毎項目情報!R84="","",検体毎項目情報!R84)</f>
        <v/>
      </c>
      <c r="BK83" s="12" t="str">
        <f>IF(検体毎項目情報!S84="","",検体毎項目情報!S84)</f>
        <v/>
      </c>
      <c r="BL83" s="12" t="str">
        <f>IF(検体毎項目情報!T84="","",検体毎項目情報!T84)</f>
        <v/>
      </c>
      <c r="BM83" s="12" t="str">
        <f>IF(検体毎項目情報!U84="","",検体毎項目情報!U84)</f>
        <v/>
      </c>
      <c r="BN83" s="12" t="str">
        <f>IF(検体毎項目情報!V84="","",検体毎項目情報!V84)</f>
        <v/>
      </c>
      <c r="BO83" s="12" t="str">
        <f>IF(検体毎項目情報!W84="","",検体毎項目情報!W84)</f>
        <v/>
      </c>
      <c r="BP83" s="12" t="str">
        <f>IF(検体毎項目情報!X84="","",検体毎項目情報!X84)</f>
        <v/>
      </c>
    </row>
    <row r="84" spans="44:68">
      <c r="AR84" s="32" t="str">
        <f>IF(AS84="","",COUNTIF(費用項目一覧!A:A,判定詳細!AU84))</f>
        <v/>
      </c>
      <c r="AS84" s="12" t="str">
        <f>IF(検体毎項目情報!A85="","",検体毎項目情報!A85)</f>
        <v/>
      </c>
      <c r="AT84" s="12" t="str">
        <f>IF(検体毎項目情報!B85="","",検体毎項目情報!B85)</f>
        <v/>
      </c>
      <c r="AU84" s="12" t="str">
        <f>IF(検体毎項目情報!C85="","",検体毎項目情報!C85)</f>
        <v/>
      </c>
      <c r="AV84" s="12" t="str">
        <f>IF(検体毎項目情報!D85="","",検体毎項目情報!D85)</f>
        <v/>
      </c>
      <c r="AW84" s="12" t="str">
        <f>IF(検体毎項目情報!E85="","",検体毎項目情報!E85)</f>
        <v/>
      </c>
      <c r="AX84" s="12" t="str">
        <f>IF(検体毎項目情報!F85="","",検体毎項目情報!F85)</f>
        <v/>
      </c>
      <c r="AY84" s="12" t="str">
        <f>IF(検体毎項目情報!G85="","",検体毎項目情報!G85)</f>
        <v/>
      </c>
      <c r="AZ84" s="12" t="str">
        <f>IF(検体毎項目情報!H85="","",検体毎項目情報!H85)</f>
        <v/>
      </c>
      <c r="BA84" s="12" t="str">
        <f>IF(検体毎項目情報!I85="","",検体毎項目情報!I85)</f>
        <v/>
      </c>
      <c r="BB84" s="12" t="str">
        <f>IF(検体毎項目情報!J85="","",検体毎項目情報!J85)</f>
        <v/>
      </c>
      <c r="BC84" s="12" t="str">
        <f>IF(検体毎項目情報!K85="","",検体毎項目情報!K85)</f>
        <v/>
      </c>
      <c r="BD84" s="12" t="str">
        <f>IF(検体毎項目情報!L85="","",検体毎項目情報!L85)</f>
        <v/>
      </c>
      <c r="BE84" s="12" t="str">
        <f>IF(検体毎項目情報!M85="","",検体毎項目情報!M85)</f>
        <v/>
      </c>
      <c r="BF84" s="12" t="str">
        <f>IF(検体毎項目情報!N85="","",検体毎項目情報!N85)</f>
        <v/>
      </c>
      <c r="BG84" s="12" t="str">
        <f>IF(検体毎項目情報!O85="","",検体毎項目情報!O85)</f>
        <v/>
      </c>
      <c r="BH84" s="12" t="str">
        <f>IF(検体毎項目情報!P85="","",検体毎項目情報!P85)</f>
        <v/>
      </c>
      <c r="BI84" s="12" t="str">
        <f>IF(検体毎項目情報!Q85="","",検体毎項目情報!Q85)</f>
        <v/>
      </c>
      <c r="BJ84" s="12" t="str">
        <f>IF(検体毎項目情報!R85="","",検体毎項目情報!R85)</f>
        <v/>
      </c>
      <c r="BK84" s="12" t="str">
        <f>IF(検体毎項目情報!S85="","",検体毎項目情報!S85)</f>
        <v/>
      </c>
      <c r="BL84" s="12" t="str">
        <f>IF(検体毎項目情報!T85="","",検体毎項目情報!T85)</f>
        <v/>
      </c>
      <c r="BM84" s="12" t="str">
        <f>IF(検体毎項目情報!U85="","",検体毎項目情報!U85)</f>
        <v/>
      </c>
      <c r="BN84" s="12" t="str">
        <f>IF(検体毎項目情報!V85="","",検体毎項目情報!V85)</f>
        <v/>
      </c>
      <c r="BO84" s="12" t="str">
        <f>IF(検体毎項目情報!W85="","",検体毎項目情報!W85)</f>
        <v/>
      </c>
      <c r="BP84" s="12" t="str">
        <f>IF(検体毎項目情報!X85="","",検体毎項目情報!X85)</f>
        <v/>
      </c>
    </row>
    <row r="85" spans="44:68">
      <c r="AR85" s="32" t="str">
        <f>IF(AS85="","",COUNTIF(費用項目一覧!A:A,判定詳細!AU85))</f>
        <v/>
      </c>
      <c r="AS85" s="12" t="str">
        <f>IF(検体毎項目情報!A86="","",検体毎項目情報!A86)</f>
        <v/>
      </c>
      <c r="AT85" s="12" t="str">
        <f>IF(検体毎項目情報!B86="","",検体毎項目情報!B86)</f>
        <v/>
      </c>
      <c r="AU85" s="12" t="str">
        <f>IF(検体毎項目情報!C86="","",検体毎項目情報!C86)</f>
        <v/>
      </c>
      <c r="AV85" s="12" t="str">
        <f>IF(検体毎項目情報!D86="","",検体毎項目情報!D86)</f>
        <v/>
      </c>
      <c r="AW85" s="12" t="str">
        <f>IF(検体毎項目情報!E86="","",検体毎項目情報!E86)</f>
        <v/>
      </c>
      <c r="AX85" s="12" t="str">
        <f>IF(検体毎項目情報!F86="","",検体毎項目情報!F86)</f>
        <v/>
      </c>
      <c r="AY85" s="12" t="str">
        <f>IF(検体毎項目情報!G86="","",検体毎項目情報!G86)</f>
        <v/>
      </c>
      <c r="AZ85" s="12" t="str">
        <f>IF(検体毎項目情報!H86="","",検体毎項目情報!H86)</f>
        <v/>
      </c>
      <c r="BA85" s="12" t="str">
        <f>IF(検体毎項目情報!I86="","",検体毎項目情報!I86)</f>
        <v/>
      </c>
      <c r="BB85" s="12" t="str">
        <f>IF(検体毎項目情報!J86="","",検体毎項目情報!J86)</f>
        <v/>
      </c>
      <c r="BC85" s="12" t="str">
        <f>IF(検体毎項目情報!K86="","",検体毎項目情報!K86)</f>
        <v/>
      </c>
      <c r="BD85" s="12" t="str">
        <f>IF(検体毎項目情報!L86="","",検体毎項目情報!L86)</f>
        <v/>
      </c>
      <c r="BE85" s="12" t="str">
        <f>IF(検体毎項目情報!M86="","",検体毎項目情報!M86)</f>
        <v/>
      </c>
      <c r="BF85" s="12" t="str">
        <f>IF(検体毎項目情報!N86="","",検体毎項目情報!N86)</f>
        <v/>
      </c>
      <c r="BG85" s="12" t="str">
        <f>IF(検体毎項目情報!O86="","",検体毎項目情報!O86)</f>
        <v/>
      </c>
      <c r="BH85" s="12" t="str">
        <f>IF(検体毎項目情報!P86="","",検体毎項目情報!P86)</f>
        <v/>
      </c>
      <c r="BI85" s="12" t="str">
        <f>IF(検体毎項目情報!Q86="","",検体毎項目情報!Q86)</f>
        <v/>
      </c>
      <c r="BJ85" s="12" t="str">
        <f>IF(検体毎項目情報!R86="","",検体毎項目情報!R86)</f>
        <v/>
      </c>
      <c r="BK85" s="12" t="str">
        <f>IF(検体毎項目情報!S86="","",検体毎項目情報!S86)</f>
        <v/>
      </c>
      <c r="BL85" s="12" t="str">
        <f>IF(検体毎項目情報!T86="","",検体毎項目情報!T86)</f>
        <v/>
      </c>
      <c r="BM85" s="12" t="str">
        <f>IF(検体毎項目情報!U86="","",検体毎項目情報!U86)</f>
        <v/>
      </c>
      <c r="BN85" s="12" t="str">
        <f>IF(検体毎項目情報!V86="","",検体毎項目情報!V86)</f>
        <v/>
      </c>
      <c r="BO85" s="12" t="str">
        <f>IF(検体毎項目情報!W86="","",検体毎項目情報!W86)</f>
        <v/>
      </c>
      <c r="BP85" s="12" t="str">
        <f>IF(検体毎項目情報!X86="","",検体毎項目情報!X86)</f>
        <v/>
      </c>
    </row>
    <row r="86" spans="44:68">
      <c r="AR86" s="32" t="str">
        <f>IF(AS86="","",COUNTIF(費用項目一覧!A:A,判定詳細!AU86))</f>
        <v/>
      </c>
      <c r="AS86" s="12" t="str">
        <f>IF(検体毎項目情報!A87="","",検体毎項目情報!A87)</f>
        <v/>
      </c>
      <c r="AT86" s="12" t="str">
        <f>IF(検体毎項目情報!B87="","",検体毎項目情報!B87)</f>
        <v/>
      </c>
      <c r="AU86" s="12" t="str">
        <f>IF(検体毎項目情報!C87="","",検体毎項目情報!C87)</f>
        <v/>
      </c>
      <c r="AV86" s="12" t="str">
        <f>IF(検体毎項目情報!D87="","",検体毎項目情報!D87)</f>
        <v/>
      </c>
      <c r="AW86" s="12" t="str">
        <f>IF(検体毎項目情報!E87="","",検体毎項目情報!E87)</f>
        <v/>
      </c>
      <c r="AX86" s="12" t="str">
        <f>IF(検体毎項目情報!F87="","",検体毎項目情報!F87)</f>
        <v/>
      </c>
      <c r="AY86" s="12" t="str">
        <f>IF(検体毎項目情報!G87="","",検体毎項目情報!G87)</f>
        <v/>
      </c>
      <c r="AZ86" s="12" t="str">
        <f>IF(検体毎項目情報!H87="","",検体毎項目情報!H87)</f>
        <v/>
      </c>
      <c r="BA86" s="12" t="str">
        <f>IF(検体毎項目情報!I87="","",検体毎項目情報!I87)</f>
        <v/>
      </c>
      <c r="BB86" s="12" t="str">
        <f>IF(検体毎項目情報!J87="","",検体毎項目情報!J87)</f>
        <v/>
      </c>
      <c r="BC86" s="12" t="str">
        <f>IF(検体毎項目情報!K87="","",検体毎項目情報!K87)</f>
        <v/>
      </c>
      <c r="BD86" s="12" t="str">
        <f>IF(検体毎項目情報!L87="","",検体毎項目情報!L87)</f>
        <v/>
      </c>
      <c r="BE86" s="12" t="str">
        <f>IF(検体毎項目情報!M87="","",検体毎項目情報!M87)</f>
        <v/>
      </c>
      <c r="BF86" s="12" t="str">
        <f>IF(検体毎項目情報!N87="","",検体毎項目情報!N87)</f>
        <v/>
      </c>
      <c r="BG86" s="12" t="str">
        <f>IF(検体毎項目情報!O87="","",検体毎項目情報!O87)</f>
        <v/>
      </c>
      <c r="BH86" s="12" t="str">
        <f>IF(検体毎項目情報!P87="","",検体毎項目情報!P87)</f>
        <v/>
      </c>
      <c r="BI86" s="12" t="str">
        <f>IF(検体毎項目情報!Q87="","",検体毎項目情報!Q87)</f>
        <v/>
      </c>
      <c r="BJ86" s="12" t="str">
        <f>IF(検体毎項目情報!R87="","",検体毎項目情報!R87)</f>
        <v/>
      </c>
      <c r="BK86" s="12" t="str">
        <f>IF(検体毎項目情報!S87="","",検体毎項目情報!S87)</f>
        <v/>
      </c>
      <c r="BL86" s="12" t="str">
        <f>IF(検体毎項目情報!T87="","",検体毎項目情報!T87)</f>
        <v/>
      </c>
      <c r="BM86" s="12" t="str">
        <f>IF(検体毎項目情報!U87="","",検体毎項目情報!U87)</f>
        <v/>
      </c>
      <c r="BN86" s="12" t="str">
        <f>IF(検体毎項目情報!V87="","",検体毎項目情報!V87)</f>
        <v/>
      </c>
      <c r="BO86" s="12" t="str">
        <f>IF(検体毎項目情報!W87="","",検体毎項目情報!W87)</f>
        <v/>
      </c>
      <c r="BP86" s="12" t="str">
        <f>IF(検体毎項目情報!X87="","",検体毎項目情報!X87)</f>
        <v/>
      </c>
    </row>
    <row r="87" spans="44:68">
      <c r="AR87" s="32" t="str">
        <f>IF(AS87="","",COUNTIF(費用項目一覧!A:A,判定詳細!AU87))</f>
        <v/>
      </c>
      <c r="AS87" s="12" t="str">
        <f>IF(検体毎項目情報!A88="","",検体毎項目情報!A88)</f>
        <v/>
      </c>
      <c r="AT87" s="12" t="str">
        <f>IF(検体毎項目情報!B88="","",検体毎項目情報!B88)</f>
        <v/>
      </c>
      <c r="AU87" s="12" t="str">
        <f>IF(検体毎項目情報!C88="","",検体毎項目情報!C88)</f>
        <v/>
      </c>
      <c r="AV87" s="12" t="str">
        <f>IF(検体毎項目情報!D88="","",検体毎項目情報!D88)</f>
        <v/>
      </c>
      <c r="AW87" s="12" t="str">
        <f>IF(検体毎項目情報!E88="","",検体毎項目情報!E88)</f>
        <v/>
      </c>
      <c r="AX87" s="12" t="str">
        <f>IF(検体毎項目情報!F88="","",検体毎項目情報!F88)</f>
        <v/>
      </c>
      <c r="AY87" s="12" t="str">
        <f>IF(検体毎項目情報!G88="","",検体毎項目情報!G88)</f>
        <v/>
      </c>
      <c r="AZ87" s="12" t="str">
        <f>IF(検体毎項目情報!H88="","",検体毎項目情報!H88)</f>
        <v/>
      </c>
      <c r="BA87" s="12" t="str">
        <f>IF(検体毎項目情報!I88="","",検体毎項目情報!I88)</f>
        <v/>
      </c>
      <c r="BB87" s="12" t="str">
        <f>IF(検体毎項目情報!J88="","",検体毎項目情報!J88)</f>
        <v/>
      </c>
      <c r="BC87" s="12" t="str">
        <f>IF(検体毎項目情報!K88="","",検体毎項目情報!K88)</f>
        <v/>
      </c>
      <c r="BD87" s="12" t="str">
        <f>IF(検体毎項目情報!L88="","",検体毎項目情報!L88)</f>
        <v/>
      </c>
      <c r="BE87" s="12" t="str">
        <f>IF(検体毎項目情報!M88="","",検体毎項目情報!M88)</f>
        <v/>
      </c>
      <c r="BF87" s="12" t="str">
        <f>IF(検体毎項目情報!N88="","",検体毎項目情報!N88)</f>
        <v/>
      </c>
      <c r="BG87" s="12" t="str">
        <f>IF(検体毎項目情報!O88="","",検体毎項目情報!O88)</f>
        <v/>
      </c>
      <c r="BH87" s="12" t="str">
        <f>IF(検体毎項目情報!P88="","",検体毎項目情報!P88)</f>
        <v/>
      </c>
      <c r="BI87" s="12" t="str">
        <f>IF(検体毎項目情報!Q88="","",検体毎項目情報!Q88)</f>
        <v/>
      </c>
      <c r="BJ87" s="12" t="str">
        <f>IF(検体毎項目情報!R88="","",検体毎項目情報!R88)</f>
        <v/>
      </c>
      <c r="BK87" s="12" t="str">
        <f>IF(検体毎項目情報!S88="","",検体毎項目情報!S88)</f>
        <v/>
      </c>
      <c r="BL87" s="12" t="str">
        <f>IF(検体毎項目情報!T88="","",検体毎項目情報!T88)</f>
        <v/>
      </c>
      <c r="BM87" s="12" t="str">
        <f>IF(検体毎項目情報!U88="","",検体毎項目情報!U88)</f>
        <v/>
      </c>
      <c r="BN87" s="12" t="str">
        <f>IF(検体毎項目情報!V88="","",検体毎項目情報!V88)</f>
        <v/>
      </c>
      <c r="BO87" s="12" t="str">
        <f>IF(検体毎項目情報!W88="","",検体毎項目情報!W88)</f>
        <v/>
      </c>
      <c r="BP87" s="12" t="str">
        <f>IF(検体毎項目情報!X88="","",検体毎項目情報!X88)</f>
        <v/>
      </c>
    </row>
    <row r="88" spans="44:68">
      <c r="AR88" s="32" t="str">
        <f>IF(AS88="","",COUNTIF(費用項目一覧!A:A,判定詳細!AU88))</f>
        <v/>
      </c>
      <c r="AS88" s="12" t="str">
        <f>IF(検体毎項目情報!A89="","",検体毎項目情報!A89)</f>
        <v/>
      </c>
      <c r="AT88" s="12" t="str">
        <f>IF(検体毎項目情報!B89="","",検体毎項目情報!B89)</f>
        <v/>
      </c>
      <c r="AU88" s="12" t="str">
        <f>IF(検体毎項目情報!C89="","",検体毎項目情報!C89)</f>
        <v/>
      </c>
      <c r="AV88" s="12" t="str">
        <f>IF(検体毎項目情報!D89="","",検体毎項目情報!D89)</f>
        <v/>
      </c>
      <c r="AW88" s="12" t="str">
        <f>IF(検体毎項目情報!E89="","",検体毎項目情報!E89)</f>
        <v/>
      </c>
      <c r="AX88" s="12" t="str">
        <f>IF(検体毎項目情報!F89="","",検体毎項目情報!F89)</f>
        <v/>
      </c>
      <c r="AY88" s="12" t="str">
        <f>IF(検体毎項目情報!G89="","",検体毎項目情報!G89)</f>
        <v/>
      </c>
      <c r="AZ88" s="12" t="str">
        <f>IF(検体毎項目情報!H89="","",検体毎項目情報!H89)</f>
        <v/>
      </c>
      <c r="BA88" s="12" t="str">
        <f>IF(検体毎項目情報!I89="","",検体毎項目情報!I89)</f>
        <v/>
      </c>
      <c r="BB88" s="12" t="str">
        <f>IF(検体毎項目情報!J89="","",検体毎項目情報!J89)</f>
        <v/>
      </c>
      <c r="BC88" s="12" t="str">
        <f>IF(検体毎項目情報!K89="","",検体毎項目情報!K89)</f>
        <v/>
      </c>
      <c r="BD88" s="12" t="str">
        <f>IF(検体毎項目情報!L89="","",検体毎項目情報!L89)</f>
        <v/>
      </c>
      <c r="BE88" s="12" t="str">
        <f>IF(検体毎項目情報!M89="","",検体毎項目情報!M89)</f>
        <v/>
      </c>
      <c r="BF88" s="12" t="str">
        <f>IF(検体毎項目情報!N89="","",検体毎項目情報!N89)</f>
        <v/>
      </c>
      <c r="BG88" s="12" t="str">
        <f>IF(検体毎項目情報!O89="","",検体毎項目情報!O89)</f>
        <v/>
      </c>
      <c r="BH88" s="12" t="str">
        <f>IF(検体毎項目情報!P89="","",検体毎項目情報!P89)</f>
        <v/>
      </c>
      <c r="BI88" s="12" t="str">
        <f>IF(検体毎項目情報!Q89="","",検体毎項目情報!Q89)</f>
        <v/>
      </c>
      <c r="BJ88" s="12" t="str">
        <f>IF(検体毎項目情報!R89="","",検体毎項目情報!R89)</f>
        <v/>
      </c>
      <c r="BK88" s="12" t="str">
        <f>IF(検体毎項目情報!S89="","",検体毎項目情報!S89)</f>
        <v/>
      </c>
      <c r="BL88" s="12" t="str">
        <f>IF(検体毎項目情報!T89="","",検体毎項目情報!T89)</f>
        <v/>
      </c>
      <c r="BM88" s="12" t="str">
        <f>IF(検体毎項目情報!U89="","",検体毎項目情報!U89)</f>
        <v/>
      </c>
      <c r="BN88" s="12" t="str">
        <f>IF(検体毎項目情報!V89="","",検体毎項目情報!V89)</f>
        <v/>
      </c>
      <c r="BO88" s="12" t="str">
        <f>IF(検体毎項目情報!W89="","",検体毎項目情報!W89)</f>
        <v/>
      </c>
      <c r="BP88" s="12" t="str">
        <f>IF(検体毎項目情報!X89="","",検体毎項目情報!X89)</f>
        <v/>
      </c>
    </row>
    <row r="89" spans="44:68">
      <c r="AR89" s="32" t="str">
        <f>IF(AS89="","",COUNTIF(費用項目一覧!A:A,判定詳細!AU89))</f>
        <v/>
      </c>
      <c r="AS89" s="12" t="str">
        <f>IF(検体毎項目情報!A90="","",検体毎項目情報!A90)</f>
        <v/>
      </c>
      <c r="AT89" s="12" t="str">
        <f>IF(検体毎項目情報!B90="","",検体毎項目情報!B90)</f>
        <v/>
      </c>
      <c r="AU89" s="12" t="str">
        <f>IF(検体毎項目情報!C90="","",検体毎項目情報!C90)</f>
        <v/>
      </c>
      <c r="AV89" s="12" t="str">
        <f>IF(検体毎項目情報!D90="","",検体毎項目情報!D90)</f>
        <v/>
      </c>
      <c r="AW89" s="12" t="str">
        <f>IF(検体毎項目情報!E90="","",検体毎項目情報!E90)</f>
        <v/>
      </c>
      <c r="AX89" s="12" t="str">
        <f>IF(検体毎項目情報!F90="","",検体毎項目情報!F90)</f>
        <v/>
      </c>
      <c r="AY89" s="12" t="str">
        <f>IF(検体毎項目情報!G90="","",検体毎項目情報!G90)</f>
        <v/>
      </c>
      <c r="AZ89" s="12" t="str">
        <f>IF(検体毎項目情報!H90="","",検体毎項目情報!H90)</f>
        <v/>
      </c>
      <c r="BA89" s="12" t="str">
        <f>IF(検体毎項目情報!I90="","",検体毎項目情報!I90)</f>
        <v/>
      </c>
      <c r="BB89" s="12" t="str">
        <f>IF(検体毎項目情報!J90="","",検体毎項目情報!J90)</f>
        <v/>
      </c>
      <c r="BC89" s="12" t="str">
        <f>IF(検体毎項目情報!K90="","",検体毎項目情報!K90)</f>
        <v/>
      </c>
      <c r="BD89" s="12" t="str">
        <f>IF(検体毎項目情報!L90="","",検体毎項目情報!L90)</f>
        <v/>
      </c>
      <c r="BE89" s="12" t="str">
        <f>IF(検体毎項目情報!M90="","",検体毎項目情報!M90)</f>
        <v/>
      </c>
      <c r="BF89" s="12" t="str">
        <f>IF(検体毎項目情報!N90="","",検体毎項目情報!N90)</f>
        <v/>
      </c>
      <c r="BG89" s="12" t="str">
        <f>IF(検体毎項目情報!O90="","",検体毎項目情報!O90)</f>
        <v/>
      </c>
      <c r="BH89" s="12" t="str">
        <f>IF(検体毎項目情報!P90="","",検体毎項目情報!P90)</f>
        <v/>
      </c>
      <c r="BI89" s="12" t="str">
        <f>IF(検体毎項目情報!Q90="","",検体毎項目情報!Q90)</f>
        <v/>
      </c>
      <c r="BJ89" s="12" t="str">
        <f>IF(検体毎項目情報!R90="","",検体毎項目情報!R90)</f>
        <v/>
      </c>
      <c r="BK89" s="12" t="str">
        <f>IF(検体毎項目情報!S90="","",検体毎項目情報!S90)</f>
        <v/>
      </c>
      <c r="BL89" s="12" t="str">
        <f>IF(検体毎項目情報!T90="","",検体毎項目情報!T90)</f>
        <v/>
      </c>
      <c r="BM89" s="12" t="str">
        <f>IF(検体毎項目情報!U90="","",検体毎項目情報!U90)</f>
        <v/>
      </c>
      <c r="BN89" s="12" t="str">
        <f>IF(検体毎項目情報!V90="","",検体毎項目情報!V90)</f>
        <v/>
      </c>
      <c r="BO89" s="12" t="str">
        <f>IF(検体毎項目情報!W90="","",検体毎項目情報!W90)</f>
        <v/>
      </c>
      <c r="BP89" s="12" t="str">
        <f>IF(検体毎項目情報!X90="","",検体毎項目情報!X90)</f>
        <v/>
      </c>
    </row>
    <row r="90" spans="44:68">
      <c r="AR90" s="32" t="str">
        <f>IF(AS90="","",COUNTIF(費用項目一覧!A:A,判定詳細!AU90))</f>
        <v/>
      </c>
      <c r="AS90" s="12" t="str">
        <f>IF(検体毎項目情報!A91="","",検体毎項目情報!A91)</f>
        <v/>
      </c>
      <c r="AT90" s="12" t="str">
        <f>IF(検体毎項目情報!B91="","",検体毎項目情報!B91)</f>
        <v/>
      </c>
      <c r="AU90" s="12" t="str">
        <f>IF(検体毎項目情報!C91="","",検体毎項目情報!C91)</f>
        <v/>
      </c>
      <c r="AV90" s="12" t="str">
        <f>IF(検体毎項目情報!D91="","",検体毎項目情報!D91)</f>
        <v/>
      </c>
      <c r="AW90" s="12" t="str">
        <f>IF(検体毎項目情報!E91="","",検体毎項目情報!E91)</f>
        <v/>
      </c>
      <c r="AX90" s="12" t="str">
        <f>IF(検体毎項目情報!F91="","",検体毎項目情報!F91)</f>
        <v/>
      </c>
      <c r="AY90" s="12" t="str">
        <f>IF(検体毎項目情報!G91="","",検体毎項目情報!G91)</f>
        <v/>
      </c>
      <c r="AZ90" s="12" t="str">
        <f>IF(検体毎項目情報!H91="","",検体毎項目情報!H91)</f>
        <v/>
      </c>
      <c r="BA90" s="12" t="str">
        <f>IF(検体毎項目情報!I91="","",検体毎項目情報!I91)</f>
        <v/>
      </c>
      <c r="BB90" s="12" t="str">
        <f>IF(検体毎項目情報!J91="","",検体毎項目情報!J91)</f>
        <v/>
      </c>
      <c r="BC90" s="12" t="str">
        <f>IF(検体毎項目情報!K91="","",検体毎項目情報!K91)</f>
        <v/>
      </c>
      <c r="BD90" s="12" t="str">
        <f>IF(検体毎項目情報!L91="","",検体毎項目情報!L91)</f>
        <v/>
      </c>
      <c r="BE90" s="12" t="str">
        <f>IF(検体毎項目情報!M91="","",検体毎項目情報!M91)</f>
        <v/>
      </c>
      <c r="BF90" s="12" t="str">
        <f>IF(検体毎項目情報!N91="","",検体毎項目情報!N91)</f>
        <v/>
      </c>
      <c r="BG90" s="12" t="str">
        <f>IF(検体毎項目情報!O91="","",検体毎項目情報!O91)</f>
        <v/>
      </c>
      <c r="BH90" s="12" t="str">
        <f>IF(検体毎項目情報!P91="","",検体毎項目情報!P91)</f>
        <v/>
      </c>
      <c r="BI90" s="12" t="str">
        <f>IF(検体毎項目情報!Q91="","",検体毎項目情報!Q91)</f>
        <v/>
      </c>
      <c r="BJ90" s="12" t="str">
        <f>IF(検体毎項目情報!R91="","",検体毎項目情報!R91)</f>
        <v/>
      </c>
      <c r="BK90" s="12" t="str">
        <f>IF(検体毎項目情報!S91="","",検体毎項目情報!S91)</f>
        <v/>
      </c>
      <c r="BL90" s="12" t="str">
        <f>IF(検体毎項目情報!T91="","",検体毎項目情報!T91)</f>
        <v/>
      </c>
      <c r="BM90" s="12" t="str">
        <f>IF(検体毎項目情報!U91="","",検体毎項目情報!U91)</f>
        <v/>
      </c>
      <c r="BN90" s="12" t="str">
        <f>IF(検体毎項目情報!V91="","",検体毎項目情報!V91)</f>
        <v/>
      </c>
      <c r="BO90" s="12" t="str">
        <f>IF(検体毎項目情報!W91="","",検体毎項目情報!W91)</f>
        <v/>
      </c>
      <c r="BP90" s="12" t="str">
        <f>IF(検体毎項目情報!X91="","",検体毎項目情報!X91)</f>
        <v/>
      </c>
    </row>
    <row r="91" spans="44:68">
      <c r="AR91" s="32" t="str">
        <f>IF(AS91="","",COUNTIF(費用項目一覧!A:A,判定詳細!AU91))</f>
        <v/>
      </c>
      <c r="AS91" s="12" t="str">
        <f>IF(検体毎項目情報!A92="","",検体毎項目情報!A92)</f>
        <v/>
      </c>
      <c r="AT91" s="12" t="str">
        <f>IF(検体毎項目情報!B92="","",検体毎項目情報!B92)</f>
        <v/>
      </c>
      <c r="AU91" s="12" t="str">
        <f>IF(検体毎項目情報!C92="","",検体毎項目情報!C92)</f>
        <v/>
      </c>
      <c r="AV91" s="12" t="str">
        <f>IF(検体毎項目情報!D92="","",検体毎項目情報!D92)</f>
        <v/>
      </c>
      <c r="AW91" s="12" t="str">
        <f>IF(検体毎項目情報!E92="","",検体毎項目情報!E92)</f>
        <v/>
      </c>
      <c r="AX91" s="12" t="str">
        <f>IF(検体毎項目情報!F92="","",検体毎項目情報!F92)</f>
        <v/>
      </c>
      <c r="AY91" s="12" t="str">
        <f>IF(検体毎項目情報!G92="","",検体毎項目情報!G92)</f>
        <v/>
      </c>
      <c r="AZ91" s="12" t="str">
        <f>IF(検体毎項目情報!H92="","",検体毎項目情報!H92)</f>
        <v/>
      </c>
      <c r="BA91" s="12" t="str">
        <f>IF(検体毎項目情報!I92="","",検体毎項目情報!I92)</f>
        <v/>
      </c>
      <c r="BB91" s="12" t="str">
        <f>IF(検体毎項目情報!J92="","",検体毎項目情報!J92)</f>
        <v/>
      </c>
      <c r="BC91" s="12" t="str">
        <f>IF(検体毎項目情報!K92="","",検体毎項目情報!K92)</f>
        <v/>
      </c>
      <c r="BD91" s="12" t="str">
        <f>IF(検体毎項目情報!L92="","",検体毎項目情報!L92)</f>
        <v/>
      </c>
      <c r="BE91" s="12" t="str">
        <f>IF(検体毎項目情報!M92="","",検体毎項目情報!M92)</f>
        <v/>
      </c>
      <c r="BF91" s="12" t="str">
        <f>IF(検体毎項目情報!N92="","",検体毎項目情報!N92)</f>
        <v/>
      </c>
      <c r="BG91" s="12" t="str">
        <f>IF(検体毎項目情報!O92="","",検体毎項目情報!O92)</f>
        <v/>
      </c>
      <c r="BH91" s="12" t="str">
        <f>IF(検体毎項目情報!P92="","",検体毎項目情報!P92)</f>
        <v/>
      </c>
      <c r="BI91" s="12" t="str">
        <f>IF(検体毎項目情報!Q92="","",検体毎項目情報!Q92)</f>
        <v/>
      </c>
      <c r="BJ91" s="12" t="str">
        <f>IF(検体毎項目情報!R92="","",検体毎項目情報!R92)</f>
        <v/>
      </c>
      <c r="BK91" s="12" t="str">
        <f>IF(検体毎項目情報!S92="","",検体毎項目情報!S92)</f>
        <v/>
      </c>
      <c r="BL91" s="12" t="str">
        <f>IF(検体毎項目情報!T92="","",検体毎項目情報!T92)</f>
        <v/>
      </c>
      <c r="BM91" s="12" t="str">
        <f>IF(検体毎項目情報!U92="","",検体毎項目情報!U92)</f>
        <v/>
      </c>
      <c r="BN91" s="12" t="str">
        <f>IF(検体毎項目情報!V92="","",検体毎項目情報!V92)</f>
        <v/>
      </c>
      <c r="BO91" s="12" t="str">
        <f>IF(検体毎項目情報!W92="","",検体毎項目情報!W92)</f>
        <v/>
      </c>
      <c r="BP91" s="12" t="str">
        <f>IF(検体毎項目情報!X92="","",検体毎項目情報!X92)</f>
        <v/>
      </c>
    </row>
    <row r="92" spans="44:68">
      <c r="AR92" s="32" t="str">
        <f>IF(AS92="","",COUNTIF(費用項目一覧!A:A,判定詳細!AU92))</f>
        <v/>
      </c>
      <c r="AS92" s="12" t="str">
        <f>IF(検体毎項目情報!A93="","",検体毎項目情報!A93)</f>
        <v/>
      </c>
      <c r="AT92" s="12" t="str">
        <f>IF(検体毎項目情報!B93="","",検体毎項目情報!B93)</f>
        <v/>
      </c>
      <c r="AU92" s="12" t="str">
        <f>IF(検体毎項目情報!C93="","",検体毎項目情報!C93)</f>
        <v/>
      </c>
      <c r="AV92" s="12" t="str">
        <f>IF(検体毎項目情報!D93="","",検体毎項目情報!D93)</f>
        <v/>
      </c>
      <c r="AW92" s="12" t="str">
        <f>IF(検体毎項目情報!E93="","",検体毎項目情報!E93)</f>
        <v/>
      </c>
      <c r="AX92" s="12" t="str">
        <f>IF(検体毎項目情報!F93="","",検体毎項目情報!F93)</f>
        <v/>
      </c>
      <c r="AY92" s="12" t="str">
        <f>IF(検体毎項目情報!G93="","",検体毎項目情報!G93)</f>
        <v/>
      </c>
      <c r="AZ92" s="12" t="str">
        <f>IF(検体毎項目情報!H93="","",検体毎項目情報!H93)</f>
        <v/>
      </c>
      <c r="BA92" s="12" t="str">
        <f>IF(検体毎項目情報!I93="","",検体毎項目情報!I93)</f>
        <v/>
      </c>
      <c r="BB92" s="12" t="str">
        <f>IF(検体毎項目情報!J93="","",検体毎項目情報!J93)</f>
        <v/>
      </c>
      <c r="BC92" s="12" t="str">
        <f>IF(検体毎項目情報!K93="","",検体毎項目情報!K93)</f>
        <v/>
      </c>
      <c r="BD92" s="12" t="str">
        <f>IF(検体毎項目情報!L93="","",検体毎項目情報!L93)</f>
        <v/>
      </c>
      <c r="BE92" s="12" t="str">
        <f>IF(検体毎項目情報!M93="","",検体毎項目情報!M93)</f>
        <v/>
      </c>
      <c r="BF92" s="12" t="str">
        <f>IF(検体毎項目情報!N93="","",検体毎項目情報!N93)</f>
        <v/>
      </c>
      <c r="BG92" s="12" t="str">
        <f>IF(検体毎項目情報!O93="","",検体毎項目情報!O93)</f>
        <v/>
      </c>
      <c r="BH92" s="12" t="str">
        <f>IF(検体毎項目情報!P93="","",検体毎項目情報!P93)</f>
        <v/>
      </c>
      <c r="BI92" s="12" t="str">
        <f>IF(検体毎項目情報!Q93="","",検体毎項目情報!Q93)</f>
        <v/>
      </c>
      <c r="BJ92" s="12" t="str">
        <f>IF(検体毎項目情報!R93="","",検体毎項目情報!R93)</f>
        <v/>
      </c>
      <c r="BK92" s="12" t="str">
        <f>IF(検体毎項目情報!S93="","",検体毎項目情報!S93)</f>
        <v/>
      </c>
      <c r="BL92" s="12" t="str">
        <f>IF(検体毎項目情報!T93="","",検体毎項目情報!T93)</f>
        <v/>
      </c>
      <c r="BM92" s="12" t="str">
        <f>IF(検体毎項目情報!U93="","",検体毎項目情報!U93)</f>
        <v/>
      </c>
      <c r="BN92" s="12" t="str">
        <f>IF(検体毎項目情報!V93="","",検体毎項目情報!V93)</f>
        <v/>
      </c>
      <c r="BO92" s="12" t="str">
        <f>IF(検体毎項目情報!W93="","",検体毎項目情報!W93)</f>
        <v/>
      </c>
      <c r="BP92" s="12" t="str">
        <f>IF(検体毎項目情報!X93="","",検体毎項目情報!X93)</f>
        <v/>
      </c>
    </row>
    <row r="93" spans="44:68">
      <c r="AR93" s="32" t="str">
        <f>IF(AS93="","",COUNTIF(費用項目一覧!A:A,判定詳細!AU93))</f>
        <v/>
      </c>
      <c r="AS93" s="12" t="str">
        <f>IF(検体毎項目情報!A94="","",検体毎項目情報!A94)</f>
        <v/>
      </c>
      <c r="AT93" s="12" t="str">
        <f>IF(検体毎項目情報!B94="","",検体毎項目情報!B94)</f>
        <v/>
      </c>
      <c r="AU93" s="12" t="str">
        <f>IF(検体毎項目情報!C94="","",検体毎項目情報!C94)</f>
        <v/>
      </c>
      <c r="AV93" s="12" t="str">
        <f>IF(検体毎項目情報!D94="","",検体毎項目情報!D94)</f>
        <v/>
      </c>
      <c r="AW93" s="12" t="str">
        <f>IF(検体毎項目情報!E94="","",検体毎項目情報!E94)</f>
        <v/>
      </c>
      <c r="AX93" s="12" t="str">
        <f>IF(検体毎項目情報!F94="","",検体毎項目情報!F94)</f>
        <v/>
      </c>
      <c r="AY93" s="12" t="str">
        <f>IF(検体毎項目情報!G94="","",検体毎項目情報!G94)</f>
        <v/>
      </c>
      <c r="AZ93" s="12" t="str">
        <f>IF(検体毎項目情報!H94="","",検体毎項目情報!H94)</f>
        <v/>
      </c>
      <c r="BA93" s="12" t="str">
        <f>IF(検体毎項目情報!I94="","",検体毎項目情報!I94)</f>
        <v/>
      </c>
      <c r="BB93" s="12" t="str">
        <f>IF(検体毎項目情報!J94="","",検体毎項目情報!J94)</f>
        <v/>
      </c>
      <c r="BC93" s="12" t="str">
        <f>IF(検体毎項目情報!K94="","",検体毎項目情報!K94)</f>
        <v/>
      </c>
      <c r="BD93" s="12" t="str">
        <f>IF(検体毎項目情報!L94="","",検体毎項目情報!L94)</f>
        <v/>
      </c>
      <c r="BE93" s="12" t="str">
        <f>IF(検体毎項目情報!M94="","",検体毎項目情報!M94)</f>
        <v/>
      </c>
      <c r="BF93" s="12" t="str">
        <f>IF(検体毎項目情報!N94="","",検体毎項目情報!N94)</f>
        <v/>
      </c>
      <c r="BG93" s="12" t="str">
        <f>IF(検体毎項目情報!O94="","",検体毎項目情報!O94)</f>
        <v/>
      </c>
      <c r="BH93" s="12" t="str">
        <f>IF(検体毎項目情報!P94="","",検体毎項目情報!P94)</f>
        <v/>
      </c>
      <c r="BI93" s="12" t="str">
        <f>IF(検体毎項目情報!Q94="","",検体毎項目情報!Q94)</f>
        <v/>
      </c>
      <c r="BJ93" s="12" t="str">
        <f>IF(検体毎項目情報!R94="","",検体毎項目情報!R94)</f>
        <v/>
      </c>
      <c r="BK93" s="12" t="str">
        <f>IF(検体毎項目情報!S94="","",検体毎項目情報!S94)</f>
        <v/>
      </c>
      <c r="BL93" s="12" t="str">
        <f>IF(検体毎項目情報!T94="","",検体毎項目情報!T94)</f>
        <v/>
      </c>
      <c r="BM93" s="12" t="str">
        <f>IF(検体毎項目情報!U94="","",検体毎項目情報!U94)</f>
        <v/>
      </c>
      <c r="BN93" s="12" t="str">
        <f>IF(検体毎項目情報!V94="","",検体毎項目情報!V94)</f>
        <v/>
      </c>
      <c r="BO93" s="12" t="str">
        <f>IF(検体毎項目情報!W94="","",検体毎項目情報!W94)</f>
        <v/>
      </c>
      <c r="BP93" s="12" t="str">
        <f>IF(検体毎項目情報!X94="","",検体毎項目情報!X94)</f>
        <v/>
      </c>
    </row>
    <row r="94" spans="44:68">
      <c r="AR94" s="32" t="str">
        <f>IF(AS94="","",COUNTIF(費用項目一覧!A:A,判定詳細!AU94))</f>
        <v/>
      </c>
      <c r="AS94" s="12" t="str">
        <f>IF(検体毎項目情報!A95="","",検体毎項目情報!A95)</f>
        <v/>
      </c>
      <c r="AT94" s="12" t="str">
        <f>IF(検体毎項目情報!B95="","",検体毎項目情報!B95)</f>
        <v/>
      </c>
      <c r="AU94" s="12" t="str">
        <f>IF(検体毎項目情報!C95="","",検体毎項目情報!C95)</f>
        <v/>
      </c>
      <c r="AV94" s="12" t="str">
        <f>IF(検体毎項目情報!D95="","",検体毎項目情報!D95)</f>
        <v/>
      </c>
      <c r="AW94" s="12" t="str">
        <f>IF(検体毎項目情報!E95="","",検体毎項目情報!E95)</f>
        <v/>
      </c>
      <c r="AX94" s="12" t="str">
        <f>IF(検体毎項目情報!F95="","",検体毎項目情報!F95)</f>
        <v/>
      </c>
      <c r="AY94" s="12" t="str">
        <f>IF(検体毎項目情報!G95="","",検体毎項目情報!G95)</f>
        <v/>
      </c>
      <c r="AZ94" s="12" t="str">
        <f>IF(検体毎項目情報!H95="","",検体毎項目情報!H95)</f>
        <v/>
      </c>
      <c r="BA94" s="12" t="str">
        <f>IF(検体毎項目情報!I95="","",検体毎項目情報!I95)</f>
        <v/>
      </c>
      <c r="BB94" s="12" t="str">
        <f>IF(検体毎項目情報!J95="","",検体毎項目情報!J95)</f>
        <v/>
      </c>
      <c r="BC94" s="12" t="str">
        <f>IF(検体毎項目情報!K95="","",検体毎項目情報!K95)</f>
        <v/>
      </c>
      <c r="BD94" s="12" t="str">
        <f>IF(検体毎項目情報!L95="","",検体毎項目情報!L95)</f>
        <v/>
      </c>
      <c r="BE94" s="12" t="str">
        <f>IF(検体毎項目情報!M95="","",検体毎項目情報!M95)</f>
        <v/>
      </c>
      <c r="BF94" s="12" t="str">
        <f>IF(検体毎項目情報!N95="","",検体毎項目情報!N95)</f>
        <v/>
      </c>
      <c r="BG94" s="12" t="str">
        <f>IF(検体毎項目情報!O95="","",検体毎項目情報!O95)</f>
        <v/>
      </c>
      <c r="BH94" s="12" t="str">
        <f>IF(検体毎項目情報!P95="","",検体毎項目情報!P95)</f>
        <v/>
      </c>
      <c r="BI94" s="12" t="str">
        <f>IF(検体毎項目情報!Q95="","",検体毎項目情報!Q95)</f>
        <v/>
      </c>
      <c r="BJ94" s="12" t="str">
        <f>IF(検体毎項目情報!R95="","",検体毎項目情報!R95)</f>
        <v/>
      </c>
      <c r="BK94" s="12" t="str">
        <f>IF(検体毎項目情報!S95="","",検体毎項目情報!S95)</f>
        <v/>
      </c>
      <c r="BL94" s="12" t="str">
        <f>IF(検体毎項目情報!T95="","",検体毎項目情報!T95)</f>
        <v/>
      </c>
      <c r="BM94" s="12" t="str">
        <f>IF(検体毎項目情報!U95="","",検体毎項目情報!U95)</f>
        <v/>
      </c>
      <c r="BN94" s="12" t="str">
        <f>IF(検体毎項目情報!V95="","",検体毎項目情報!V95)</f>
        <v/>
      </c>
      <c r="BO94" s="12" t="str">
        <f>IF(検体毎項目情報!W95="","",検体毎項目情報!W95)</f>
        <v/>
      </c>
      <c r="BP94" s="12" t="str">
        <f>IF(検体毎項目情報!X95="","",検体毎項目情報!X95)</f>
        <v/>
      </c>
    </row>
    <row r="95" spans="44:68">
      <c r="AR95" s="32" t="str">
        <f>IF(AS95="","",COUNTIF(費用項目一覧!A:A,判定詳細!AU95))</f>
        <v/>
      </c>
      <c r="AS95" s="12" t="str">
        <f>IF(検体毎項目情報!A96="","",検体毎項目情報!A96)</f>
        <v/>
      </c>
      <c r="AT95" s="12" t="str">
        <f>IF(検体毎項目情報!B96="","",検体毎項目情報!B96)</f>
        <v/>
      </c>
      <c r="AU95" s="12" t="str">
        <f>IF(検体毎項目情報!C96="","",検体毎項目情報!C96)</f>
        <v/>
      </c>
      <c r="AV95" s="12" t="str">
        <f>IF(検体毎項目情報!D96="","",検体毎項目情報!D96)</f>
        <v/>
      </c>
      <c r="AW95" s="12" t="str">
        <f>IF(検体毎項目情報!E96="","",検体毎項目情報!E96)</f>
        <v/>
      </c>
      <c r="AX95" s="12" t="str">
        <f>IF(検体毎項目情報!F96="","",検体毎項目情報!F96)</f>
        <v/>
      </c>
      <c r="AY95" s="12" t="str">
        <f>IF(検体毎項目情報!G96="","",検体毎項目情報!G96)</f>
        <v/>
      </c>
      <c r="AZ95" s="12" t="str">
        <f>IF(検体毎項目情報!H96="","",検体毎項目情報!H96)</f>
        <v/>
      </c>
      <c r="BA95" s="12" t="str">
        <f>IF(検体毎項目情報!I96="","",検体毎項目情報!I96)</f>
        <v/>
      </c>
      <c r="BB95" s="12" t="str">
        <f>IF(検体毎項目情報!J96="","",検体毎項目情報!J96)</f>
        <v/>
      </c>
      <c r="BC95" s="12" t="str">
        <f>IF(検体毎項目情報!K96="","",検体毎項目情報!K96)</f>
        <v/>
      </c>
      <c r="BD95" s="12" t="str">
        <f>IF(検体毎項目情報!L96="","",検体毎項目情報!L96)</f>
        <v/>
      </c>
      <c r="BE95" s="12" t="str">
        <f>IF(検体毎項目情報!M96="","",検体毎項目情報!M96)</f>
        <v/>
      </c>
      <c r="BF95" s="12" t="str">
        <f>IF(検体毎項目情報!N96="","",検体毎項目情報!N96)</f>
        <v/>
      </c>
      <c r="BG95" s="12" t="str">
        <f>IF(検体毎項目情報!O96="","",検体毎項目情報!O96)</f>
        <v/>
      </c>
      <c r="BH95" s="12" t="str">
        <f>IF(検体毎項目情報!P96="","",検体毎項目情報!P96)</f>
        <v/>
      </c>
      <c r="BI95" s="12" t="str">
        <f>IF(検体毎項目情報!Q96="","",検体毎項目情報!Q96)</f>
        <v/>
      </c>
      <c r="BJ95" s="12" t="str">
        <f>IF(検体毎項目情報!R96="","",検体毎項目情報!R96)</f>
        <v/>
      </c>
      <c r="BK95" s="12" t="str">
        <f>IF(検体毎項目情報!S96="","",検体毎項目情報!S96)</f>
        <v/>
      </c>
      <c r="BL95" s="12" t="str">
        <f>IF(検体毎項目情報!T96="","",検体毎項目情報!T96)</f>
        <v/>
      </c>
      <c r="BM95" s="12" t="str">
        <f>IF(検体毎項目情報!U96="","",検体毎項目情報!U96)</f>
        <v/>
      </c>
      <c r="BN95" s="12" t="str">
        <f>IF(検体毎項目情報!V96="","",検体毎項目情報!V96)</f>
        <v/>
      </c>
      <c r="BO95" s="12" t="str">
        <f>IF(検体毎項目情報!W96="","",検体毎項目情報!W96)</f>
        <v/>
      </c>
      <c r="BP95" s="12" t="str">
        <f>IF(検体毎項目情報!X96="","",検体毎項目情報!X96)</f>
        <v/>
      </c>
    </row>
    <row r="96" spans="44:68">
      <c r="AR96" s="32" t="str">
        <f>IF(AS96="","",COUNTIF(費用項目一覧!A:A,判定詳細!AU96))</f>
        <v/>
      </c>
      <c r="AS96" s="12" t="str">
        <f>IF(検体毎項目情報!A97="","",検体毎項目情報!A97)</f>
        <v/>
      </c>
      <c r="AT96" s="12" t="str">
        <f>IF(検体毎項目情報!B97="","",検体毎項目情報!B97)</f>
        <v/>
      </c>
      <c r="AU96" s="12" t="str">
        <f>IF(検体毎項目情報!C97="","",検体毎項目情報!C97)</f>
        <v/>
      </c>
      <c r="AV96" s="12" t="str">
        <f>IF(検体毎項目情報!D97="","",検体毎項目情報!D97)</f>
        <v/>
      </c>
      <c r="AW96" s="12" t="str">
        <f>IF(検体毎項目情報!E97="","",検体毎項目情報!E97)</f>
        <v/>
      </c>
      <c r="AX96" s="12" t="str">
        <f>IF(検体毎項目情報!F97="","",検体毎項目情報!F97)</f>
        <v/>
      </c>
      <c r="AY96" s="12" t="str">
        <f>IF(検体毎項目情報!G97="","",検体毎項目情報!G97)</f>
        <v/>
      </c>
      <c r="AZ96" s="12" t="str">
        <f>IF(検体毎項目情報!H97="","",検体毎項目情報!H97)</f>
        <v/>
      </c>
      <c r="BA96" s="12" t="str">
        <f>IF(検体毎項目情報!I97="","",検体毎項目情報!I97)</f>
        <v/>
      </c>
      <c r="BB96" s="12" t="str">
        <f>IF(検体毎項目情報!J97="","",検体毎項目情報!J97)</f>
        <v/>
      </c>
      <c r="BC96" s="12" t="str">
        <f>IF(検体毎項目情報!K97="","",検体毎項目情報!K97)</f>
        <v/>
      </c>
      <c r="BD96" s="12" t="str">
        <f>IF(検体毎項目情報!L97="","",検体毎項目情報!L97)</f>
        <v/>
      </c>
      <c r="BE96" s="12" t="str">
        <f>IF(検体毎項目情報!M97="","",検体毎項目情報!M97)</f>
        <v/>
      </c>
      <c r="BF96" s="12" t="str">
        <f>IF(検体毎項目情報!N97="","",検体毎項目情報!N97)</f>
        <v/>
      </c>
      <c r="BG96" s="12" t="str">
        <f>IF(検体毎項目情報!O97="","",検体毎項目情報!O97)</f>
        <v/>
      </c>
      <c r="BH96" s="12" t="str">
        <f>IF(検体毎項目情報!P97="","",検体毎項目情報!P97)</f>
        <v/>
      </c>
      <c r="BI96" s="12" t="str">
        <f>IF(検体毎項目情報!Q97="","",検体毎項目情報!Q97)</f>
        <v/>
      </c>
      <c r="BJ96" s="12" t="str">
        <f>IF(検体毎項目情報!R97="","",検体毎項目情報!R97)</f>
        <v/>
      </c>
      <c r="BK96" s="12" t="str">
        <f>IF(検体毎項目情報!S97="","",検体毎項目情報!S97)</f>
        <v/>
      </c>
      <c r="BL96" s="12" t="str">
        <f>IF(検体毎項目情報!T97="","",検体毎項目情報!T97)</f>
        <v/>
      </c>
      <c r="BM96" s="12" t="str">
        <f>IF(検体毎項目情報!U97="","",検体毎項目情報!U97)</f>
        <v/>
      </c>
      <c r="BN96" s="12" t="str">
        <f>IF(検体毎項目情報!V97="","",検体毎項目情報!V97)</f>
        <v/>
      </c>
      <c r="BO96" s="12" t="str">
        <f>IF(検体毎項目情報!W97="","",検体毎項目情報!W97)</f>
        <v/>
      </c>
      <c r="BP96" s="12" t="str">
        <f>IF(検体毎項目情報!X97="","",検体毎項目情報!X97)</f>
        <v/>
      </c>
    </row>
    <row r="97" spans="44:68">
      <c r="AR97" s="32" t="str">
        <f>IF(AS97="","",COUNTIF(費用項目一覧!A:A,判定詳細!AU97))</f>
        <v/>
      </c>
      <c r="AS97" s="12" t="str">
        <f>IF(検体毎項目情報!A98="","",検体毎項目情報!A98)</f>
        <v/>
      </c>
      <c r="AT97" s="12" t="str">
        <f>IF(検体毎項目情報!B98="","",検体毎項目情報!B98)</f>
        <v/>
      </c>
      <c r="AU97" s="12" t="str">
        <f>IF(検体毎項目情報!C98="","",検体毎項目情報!C98)</f>
        <v/>
      </c>
      <c r="AV97" s="12" t="str">
        <f>IF(検体毎項目情報!D98="","",検体毎項目情報!D98)</f>
        <v/>
      </c>
      <c r="AW97" s="12" t="str">
        <f>IF(検体毎項目情報!E98="","",検体毎項目情報!E98)</f>
        <v/>
      </c>
      <c r="AX97" s="12" t="str">
        <f>IF(検体毎項目情報!F98="","",検体毎項目情報!F98)</f>
        <v/>
      </c>
      <c r="AY97" s="12" t="str">
        <f>IF(検体毎項目情報!G98="","",検体毎項目情報!G98)</f>
        <v/>
      </c>
      <c r="AZ97" s="12" t="str">
        <f>IF(検体毎項目情報!H98="","",検体毎項目情報!H98)</f>
        <v/>
      </c>
      <c r="BA97" s="12" t="str">
        <f>IF(検体毎項目情報!I98="","",検体毎項目情報!I98)</f>
        <v/>
      </c>
      <c r="BB97" s="12" t="str">
        <f>IF(検体毎項目情報!J98="","",検体毎項目情報!J98)</f>
        <v/>
      </c>
      <c r="BC97" s="12" t="str">
        <f>IF(検体毎項目情報!K98="","",検体毎項目情報!K98)</f>
        <v/>
      </c>
      <c r="BD97" s="12" t="str">
        <f>IF(検体毎項目情報!L98="","",検体毎項目情報!L98)</f>
        <v/>
      </c>
      <c r="BE97" s="12" t="str">
        <f>IF(検体毎項目情報!M98="","",検体毎項目情報!M98)</f>
        <v/>
      </c>
      <c r="BF97" s="12" t="str">
        <f>IF(検体毎項目情報!N98="","",検体毎項目情報!N98)</f>
        <v/>
      </c>
      <c r="BG97" s="12" t="str">
        <f>IF(検体毎項目情報!O98="","",検体毎項目情報!O98)</f>
        <v/>
      </c>
      <c r="BH97" s="12" t="str">
        <f>IF(検体毎項目情報!P98="","",検体毎項目情報!P98)</f>
        <v/>
      </c>
      <c r="BI97" s="12" t="str">
        <f>IF(検体毎項目情報!Q98="","",検体毎項目情報!Q98)</f>
        <v/>
      </c>
      <c r="BJ97" s="12" t="str">
        <f>IF(検体毎項目情報!R98="","",検体毎項目情報!R98)</f>
        <v/>
      </c>
      <c r="BK97" s="12" t="str">
        <f>IF(検体毎項目情報!S98="","",検体毎項目情報!S98)</f>
        <v/>
      </c>
      <c r="BL97" s="12" t="str">
        <f>IF(検体毎項目情報!T98="","",検体毎項目情報!T98)</f>
        <v/>
      </c>
      <c r="BM97" s="12" t="str">
        <f>IF(検体毎項目情報!U98="","",検体毎項目情報!U98)</f>
        <v/>
      </c>
      <c r="BN97" s="12" t="str">
        <f>IF(検体毎項目情報!V98="","",検体毎項目情報!V98)</f>
        <v/>
      </c>
      <c r="BO97" s="12" t="str">
        <f>IF(検体毎項目情報!W98="","",検体毎項目情報!W98)</f>
        <v/>
      </c>
      <c r="BP97" s="12" t="str">
        <f>IF(検体毎項目情報!X98="","",検体毎項目情報!X98)</f>
        <v/>
      </c>
    </row>
    <row r="98" spans="44:68">
      <c r="AR98" s="32" t="str">
        <f>IF(AS98="","",COUNTIF(費用項目一覧!A:A,判定詳細!AU98))</f>
        <v/>
      </c>
      <c r="AS98" s="12" t="str">
        <f>IF(検体毎項目情報!A99="","",検体毎項目情報!A99)</f>
        <v/>
      </c>
      <c r="AT98" s="12" t="str">
        <f>IF(検体毎項目情報!B99="","",検体毎項目情報!B99)</f>
        <v/>
      </c>
      <c r="AU98" s="12" t="str">
        <f>IF(検体毎項目情報!C99="","",検体毎項目情報!C99)</f>
        <v/>
      </c>
      <c r="AV98" s="12" t="str">
        <f>IF(検体毎項目情報!D99="","",検体毎項目情報!D99)</f>
        <v/>
      </c>
      <c r="AW98" s="12" t="str">
        <f>IF(検体毎項目情報!E99="","",検体毎項目情報!E99)</f>
        <v/>
      </c>
      <c r="AX98" s="12" t="str">
        <f>IF(検体毎項目情報!F99="","",検体毎項目情報!F99)</f>
        <v/>
      </c>
      <c r="AY98" s="12" t="str">
        <f>IF(検体毎項目情報!G99="","",検体毎項目情報!G99)</f>
        <v/>
      </c>
      <c r="AZ98" s="12" t="str">
        <f>IF(検体毎項目情報!H99="","",検体毎項目情報!H99)</f>
        <v/>
      </c>
      <c r="BA98" s="12" t="str">
        <f>IF(検体毎項目情報!I99="","",検体毎項目情報!I99)</f>
        <v/>
      </c>
      <c r="BB98" s="12" t="str">
        <f>IF(検体毎項目情報!J99="","",検体毎項目情報!J99)</f>
        <v/>
      </c>
      <c r="BC98" s="12" t="str">
        <f>IF(検体毎項目情報!K99="","",検体毎項目情報!K99)</f>
        <v/>
      </c>
      <c r="BD98" s="12" t="str">
        <f>IF(検体毎項目情報!L99="","",検体毎項目情報!L99)</f>
        <v/>
      </c>
      <c r="BE98" s="12" t="str">
        <f>IF(検体毎項目情報!M99="","",検体毎項目情報!M99)</f>
        <v/>
      </c>
      <c r="BF98" s="12" t="str">
        <f>IF(検体毎項目情報!N99="","",検体毎項目情報!N99)</f>
        <v/>
      </c>
      <c r="BG98" s="12" t="str">
        <f>IF(検体毎項目情報!O99="","",検体毎項目情報!O99)</f>
        <v/>
      </c>
      <c r="BH98" s="12" t="str">
        <f>IF(検体毎項目情報!P99="","",検体毎項目情報!P99)</f>
        <v/>
      </c>
      <c r="BI98" s="12" t="str">
        <f>IF(検体毎項目情報!Q99="","",検体毎項目情報!Q99)</f>
        <v/>
      </c>
      <c r="BJ98" s="12" t="str">
        <f>IF(検体毎項目情報!R99="","",検体毎項目情報!R99)</f>
        <v/>
      </c>
      <c r="BK98" s="12" t="str">
        <f>IF(検体毎項目情報!S99="","",検体毎項目情報!S99)</f>
        <v/>
      </c>
      <c r="BL98" s="12" t="str">
        <f>IF(検体毎項目情報!T99="","",検体毎項目情報!T99)</f>
        <v/>
      </c>
      <c r="BM98" s="12" t="str">
        <f>IF(検体毎項目情報!U99="","",検体毎項目情報!U99)</f>
        <v/>
      </c>
      <c r="BN98" s="12" t="str">
        <f>IF(検体毎項目情報!V99="","",検体毎項目情報!V99)</f>
        <v/>
      </c>
      <c r="BO98" s="12" t="str">
        <f>IF(検体毎項目情報!W99="","",検体毎項目情報!W99)</f>
        <v/>
      </c>
      <c r="BP98" s="12" t="str">
        <f>IF(検体毎項目情報!X99="","",検体毎項目情報!X99)</f>
        <v/>
      </c>
    </row>
    <row r="99" spans="44:68">
      <c r="AR99" s="32" t="str">
        <f>IF(AS99="","",COUNTIF(費用項目一覧!A:A,判定詳細!AU99))</f>
        <v/>
      </c>
      <c r="AS99" s="12" t="str">
        <f>IF(検体毎項目情報!A100="","",検体毎項目情報!A100)</f>
        <v/>
      </c>
      <c r="AT99" s="12" t="str">
        <f>IF(検体毎項目情報!B100="","",検体毎項目情報!B100)</f>
        <v/>
      </c>
      <c r="AU99" s="12" t="str">
        <f>IF(検体毎項目情報!C100="","",検体毎項目情報!C100)</f>
        <v/>
      </c>
      <c r="AV99" s="12" t="str">
        <f>IF(検体毎項目情報!D100="","",検体毎項目情報!D100)</f>
        <v/>
      </c>
      <c r="AW99" s="12" t="str">
        <f>IF(検体毎項目情報!E100="","",検体毎項目情報!E100)</f>
        <v/>
      </c>
      <c r="AX99" s="12" t="str">
        <f>IF(検体毎項目情報!F100="","",検体毎項目情報!F100)</f>
        <v/>
      </c>
      <c r="AY99" s="12" t="str">
        <f>IF(検体毎項目情報!G100="","",検体毎項目情報!G100)</f>
        <v/>
      </c>
      <c r="AZ99" s="12" t="str">
        <f>IF(検体毎項目情報!H100="","",検体毎項目情報!H100)</f>
        <v/>
      </c>
      <c r="BA99" s="12" t="str">
        <f>IF(検体毎項目情報!I100="","",検体毎項目情報!I100)</f>
        <v/>
      </c>
      <c r="BB99" s="12" t="str">
        <f>IF(検体毎項目情報!J100="","",検体毎項目情報!J100)</f>
        <v/>
      </c>
      <c r="BC99" s="12" t="str">
        <f>IF(検体毎項目情報!K100="","",検体毎項目情報!K100)</f>
        <v/>
      </c>
      <c r="BD99" s="12" t="str">
        <f>IF(検体毎項目情報!L100="","",検体毎項目情報!L100)</f>
        <v/>
      </c>
      <c r="BE99" s="12" t="str">
        <f>IF(検体毎項目情報!M100="","",検体毎項目情報!M100)</f>
        <v/>
      </c>
      <c r="BF99" s="12" t="str">
        <f>IF(検体毎項目情報!N100="","",検体毎項目情報!N100)</f>
        <v/>
      </c>
      <c r="BG99" s="12" t="str">
        <f>IF(検体毎項目情報!O100="","",検体毎項目情報!O100)</f>
        <v/>
      </c>
      <c r="BH99" s="12" t="str">
        <f>IF(検体毎項目情報!P100="","",検体毎項目情報!P100)</f>
        <v/>
      </c>
      <c r="BI99" s="12" t="str">
        <f>IF(検体毎項目情報!Q100="","",検体毎項目情報!Q100)</f>
        <v/>
      </c>
      <c r="BJ99" s="12" t="str">
        <f>IF(検体毎項目情報!R100="","",検体毎項目情報!R100)</f>
        <v/>
      </c>
      <c r="BK99" s="12" t="str">
        <f>IF(検体毎項目情報!S100="","",検体毎項目情報!S100)</f>
        <v/>
      </c>
      <c r="BL99" s="12" t="str">
        <f>IF(検体毎項目情報!T100="","",検体毎項目情報!T100)</f>
        <v/>
      </c>
      <c r="BM99" s="12" t="str">
        <f>IF(検体毎項目情報!U100="","",検体毎項目情報!U100)</f>
        <v/>
      </c>
      <c r="BN99" s="12" t="str">
        <f>IF(検体毎項目情報!V100="","",検体毎項目情報!V100)</f>
        <v/>
      </c>
      <c r="BO99" s="12" t="str">
        <f>IF(検体毎項目情報!W100="","",検体毎項目情報!W100)</f>
        <v/>
      </c>
      <c r="BP99" s="12" t="str">
        <f>IF(検体毎項目情報!X100="","",検体毎項目情報!X100)</f>
        <v/>
      </c>
    </row>
    <row r="100" spans="44:68">
      <c r="AR100" s="32" t="str">
        <f>IF(AS100="","",COUNTIF(費用項目一覧!A:A,判定詳細!AU100))</f>
        <v/>
      </c>
      <c r="AS100" s="12" t="str">
        <f>IF(検体毎項目情報!A101="","",検体毎項目情報!A101)</f>
        <v/>
      </c>
      <c r="AT100" s="12" t="str">
        <f>IF(検体毎項目情報!B101="","",検体毎項目情報!B101)</f>
        <v/>
      </c>
      <c r="AU100" s="12" t="str">
        <f>IF(検体毎項目情報!C101="","",検体毎項目情報!C101)</f>
        <v/>
      </c>
      <c r="AV100" s="12" t="str">
        <f>IF(検体毎項目情報!D101="","",検体毎項目情報!D101)</f>
        <v/>
      </c>
      <c r="AW100" s="12" t="str">
        <f>IF(検体毎項目情報!E101="","",検体毎項目情報!E101)</f>
        <v/>
      </c>
      <c r="AX100" s="12" t="str">
        <f>IF(検体毎項目情報!F101="","",検体毎項目情報!F101)</f>
        <v/>
      </c>
      <c r="AY100" s="12" t="str">
        <f>IF(検体毎項目情報!G101="","",検体毎項目情報!G101)</f>
        <v/>
      </c>
      <c r="AZ100" s="12" t="str">
        <f>IF(検体毎項目情報!H101="","",検体毎項目情報!H101)</f>
        <v/>
      </c>
      <c r="BA100" s="12" t="str">
        <f>IF(検体毎項目情報!I101="","",検体毎項目情報!I101)</f>
        <v/>
      </c>
      <c r="BB100" s="12" t="str">
        <f>IF(検体毎項目情報!J101="","",検体毎項目情報!J101)</f>
        <v/>
      </c>
      <c r="BC100" s="12" t="str">
        <f>IF(検体毎項目情報!K101="","",検体毎項目情報!K101)</f>
        <v/>
      </c>
      <c r="BD100" s="12" t="str">
        <f>IF(検体毎項目情報!L101="","",検体毎項目情報!L101)</f>
        <v/>
      </c>
      <c r="BE100" s="12" t="str">
        <f>IF(検体毎項目情報!M101="","",検体毎項目情報!M101)</f>
        <v/>
      </c>
      <c r="BF100" s="12" t="str">
        <f>IF(検体毎項目情報!N101="","",検体毎項目情報!N101)</f>
        <v/>
      </c>
      <c r="BG100" s="12" t="str">
        <f>IF(検体毎項目情報!O101="","",検体毎項目情報!O101)</f>
        <v/>
      </c>
      <c r="BH100" s="12" t="str">
        <f>IF(検体毎項目情報!P101="","",検体毎項目情報!P101)</f>
        <v/>
      </c>
      <c r="BI100" s="12" t="str">
        <f>IF(検体毎項目情報!Q101="","",検体毎項目情報!Q101)</f>
        <v/>
      </c>
      <c r="BJ100" s="12" t="str">
        <f>IF(検体毎項目情報!R101="","",検体毎項目情報!R101)</f>
        <v/>
      </c>
      <c r="BK100" s="12" t="str">
        <f>IF(検体毎項目情報!S101="","",検体毎項目情報!S101)</f>
        <v/>
      </c>
      <c r="BL100" s="12" t="str">
        <f>IF(検体毎項目情報!T101="","",検体毎項目情報!T101)</f>
        <v/>
      </c>
      <c r="BM100" s="12" t="str">
        <f>IF(検体毎項目情報!U101="","",検体毎項目情報!U101)</f>
        <v/>
      </c>
      <c r="BN100" s="12" t="str">
        <f>IF(検体毎項目情報!V101="","",検体毎項目情報!V101)</f>
        <v/>
      </c>
      <c r="BO100" s="12" t="str">
        <f>IF(検体毎項目情報!W101="","",検体毎項目情報!W101)</f>
        <v/>
      </c>
      <c r="BP100" s="12" t="str">
        <f>IF(検体毎項目情報!X101="","",検体毎項目情報!X101)</f>
        <v/>
      </c>
    </row>
    <row r="101" spans="44:68">
      <c r="AR101" s="32" t="str">
        <f>IF(AS101="","",COUNTIF(費用項目一覧!A:A,判定詳細!AU101))</f>
        <v/>
      </c>
      <c r="AS101" s="12" t="str">
        <f>IF(検体毎項目情報!A102="","",検体毎項目情報!A102)</f>
        <v/>
      </c>
      <c r="AT101" s="12" t="str">
        <f>IF(検体毎項目情報!B102="","",検体毎項目情報!B102)</f>
        <v/>
      </c>
      <c r="AU101" s="12" t="str">
        <f>IF(検体毎項目情報!C102="","",検体毎項目情報!C102)</f>
        <v/>
      </c>
      <c r="AV101" s="12" t="str">
        <f>IF(検体毎項目情報!D102="","",検体毎項目情報!D102)</f>
        <v/>
      </c>
      <c r="AW101" s="12" t="str">
        <f>IF(検体毎項目情報!E102="","",検体毎項目情報!E102)</f>
        <v/>
      </c>
      <c r="AX101" s="12" t="str">
        <f>IF(検体毎項目情報!F102="","",検体毎項目情報!F102)</f>
        <v/>
      </c>
      <c r="AY101" s="12" t="str">
        <f>IF(検体毎項目情報!G102="","",検体毎項目情報!G102)</f>
        <v/>
      </c>
      <c r="AZ101" s="12" t="str">
        <f>IF(検体毎項目情報!H102="","",検体毎項目情報!H102)</f>
        <v/>
      </c>
      <c r="BA101" s="12" t="str">
        <f>IF(検体毎項目情報!I102="","",検体毎項目情報!I102)</f>
        <v/>
      </c>
      <c r="BB101" s="12" t="str">
        <f>IF(検体毎項目情報!J102="","",検体毎項目情報!J102)</f>
        <v/>
      </c>
      <c r="BC101" s="12" t="str">
        <f>IF(検体毎項目情報!K102="","",検体毎項目情報!K102)</f>
        <v/>
      </c>
      <c r="BD101" s="12" t="str">
        <f>IF(検体毎項目情報!L102="","",検体毎項目情報!L102)</f>
        <v/>
      </c>
      <c r="BE101" s="12" t="str">
        <f>IF(検体毎項目情報!M102="","",検体毎項目情報!M102)</f>
        <v/>
      </c>
      <c r="BF101" s="12" t="str">
        <f>IF(検体毎項目情報!N102="","",検体毎項目情報!N102)</f>
        <v/>
      </c>
      <c r="BG101" s="12" t="str">
        <f>IF(検体毎項目情報!O102="","",検体毎項目情報!O102)</f>
        <v/>
      </c>
      <c r="BH101" s="12" t="str">
        <f>IF(検体毎項目情報!P102="","",検体毎項目情報!P102)</f>
        <v/>
      </c>
      <c r="BI101" s="12" t="str">
        <f>IF(検体毎項目情報!Q102="","",検体毎項目情報!Q102)</f>
        <v/>
      </c>
      <c r="BJ101" s="12" t="str">
        <f>IF(検体毎項目情報!R102="","",検体毎項目情報!R102)</f>
        <v/>
      </c>
      <c r="BK101" s="12" t="str">
        <f>IF(検体毎項目情報!S102="","",検体毎項目情報!S102)</f>
        <v/>
      </c>
      <c r="BL101" s="12" t="str">
        <f>IF(検体毎項目情報!T102="","",検体毎項目情報!T102)</f>
        <v/>
      </c>
      <c r="BM101" s="12" t="str">
        <f>IF(検体毎項目情報!U102="","",検体毎項目情報!U102)</f>
        <v/>
      </c>
      <c r="BN101" s="12" t="str">
        <f>IF(検体毎項目情報!V102="","",検体毎項目情報!V102)</f>
        <v/>
      </c>
      <c r="BO101" s="12" t="str">
        <f>IF(検体毎項目情報!W102="","",検体毎項目情報!W102)</f>
        <v/>
      </c>
      <c r="BP101" s="12" t="str">
        <f>IF(検体毎項目情報!X102="","",検体毎項目情報!X102)</f>
        <v/>
      </c>
    </row>
    <row r="102" spans="44:68">
      <c r="AR102" s="32" t="str">
        <f>IF(AS102="","",COUNTIF(費用項目一覧!A:A,判定詳細!AU102))</f>
        <v/>
      </c>
      <c r="AS102" s="12" t="str">
        <f>IF(検体毎項目情報!A103="","",検体毎項目情報!A103)</f>
        <v/>
      </c>
      <c r="AT102" s="12" t="str">
        <f>IF(検体毎項目情報!B103="","",検体毎項目情報!B103)</f>
        <v/>
      </c>
      <c r="AU102" s="12" t="str">
        <f>IF(検体毎項目情報!C103="","",検体毎項目情報!C103)</f>
        <v/>
      </c>
      <c r="AV102" s="12" t="str">
        <f>IF(検体毎項目情報!D103="","",検体毎項目情報!D103)</f>
        <v/>
      </c>
      <c r="AW102" s="12" t="str">
        <f>IF(検体毎項目情報!E103="","",検体毎項目情報!E103)</f>
        <v/>
      </c>
      <c r="AX102" s="12" t="str">
        <f>IF(検体毎項目情報!F103="","",検体毎項目情報!F103)</f>
        <v/>
      </c>
      <c r="AY102" s="12" t="str">
        <f>IF(検体毎項目情報!G103="","",検体毎項目情報!G103)</f>
        <v/>
      </c>
      <c r="AZ102" s="12" t="str">
        <f>IF(検体毎項目情報!H103="","",検体毎項目情報!H103)</f>
        <v/>
      </c>
      <c r="BA102" s="12" t="str">
        <f>IF(検体毎項目情報!I103="","",検体毎項目情報!I103)</f>
        <v/>
      </c>
      <c r="BB102" s="12" t="str">
        <f>IF(検体毎項目情報!J103="","",検体毎項目情報!J103)</f>
        <v/>
      </c>
      <c r="BC102" s="12" t="str">
        <f>IF(検体毎項目情報!K103="","",検体毎項目情報!K103)</f>
        <v/>
      </c>
      <c r="BD102" s="12" t="str">
        <f>IF(検体毎項目情報!L103="","",検体毎項目情報!L103)</f>
        <v/>
      </c>
      <c r="BE102" s="12" t="str">
        <f>IF(検体毎項目情報!M103="","",検体毎項目情報!M103)</f>
        <v/>
      </c>
      <c r="BF102" s="12" t="str">
        <f>IF(検体毎項目情報!N103="","",検体毎項目情報!N103)</f>
        <v/>
      </c>
      <c r="BG102" s="12" t="str">
        <f>IF(検体毎項目情報!O103="","",検体毎項目情報!O103)</f>
        <v/>
      </c>
      <c r="BH102" s="12" t="str">
        <f>IF(検体毎項目情報!P103="","",検体毎項目情報!P103)</f>
        <v/>
      </c>
      <c r="BI102" s="12" t="str">
        <f>IF(検体毎項目情報!Q103="","",検体毎項目情報!Q103)</f>
        <v/>
      </c>
      <c r="BJ102" s="12" t="str">
        <f>IF(検体毎項目情報!R103="","",検体毎項目情報!R103)</f>
        <v/>
      </c>
      <c r="BK102" s="12" t="str">
        <f>IF(検体毎項目情報!S103="","",検体毎項目情報!S103)</f>
        <v/>
      </c>
      <c r="BL102" s="12" t="str">
        <f>IF(検体毎項目情報!T103="","",検体毎項目情報!T103)</f>
        <v/>
      </c>
      <c r="BM102" s="12" t="str">
        <f>IF(検体毎項目情報!U103="","",検体毎項目情報!U103)</f>
        <v/>
      </c>
      <c r="BN102" s="12" t="str">
        <f>IF(検体毎項目情報!V103="","",検体毎項目情報!V103)</f>
        <v/>
      </c>
      <c r="BO102" s="12" t="str">
        <f>IF(検体毎項目情報!W103="","",検体毎項目情報!W103)</f>
        <v/>
      </c>
      <c r="BP102" s="12" t="str">
        <f>IF(検体毎項目情報!X103="","",検体毎項目情報!X103)</f>
        <v/>
      </c>
    </row>
    <row r="103" spans="44:68">
      <c r="AR103" s="32" t="str">
        <f>IF(AS103="","",COUNTIF(費用項目一覧!A:A,判定詳細!AU103))</f>
        <v/>
      </c>
      <c r="AS103" s="12" t="str">
        <f>IF(検体毎項目情報!A104="","",検体毎項目情報!A104)</f>
        <v/>
      </c>
      <c r="AT103" s="12" t="str">
        <f>IF(検体毎項目情報!B104="","",検体毎項目情報!B104)</f>
        <v/>
      </c>
      <c r="AU103" s="12" t="str">
        <f>IF(検体毎項目情報!C104="","",検体毎項目情報!C104)</f>
        <v/>
      </c>
      <c r="AV103" s="12" t="str">
        <f>IF(検体毎項目情報!D104="","",検体毎項目情報!D104)</f>
        <v/>
      </c>
      <c r="AW103" s="12" t="str">
        <f>IF(検体毎項目情報!E104="","",検体毎項目情報!E104)</f>
        <v/>
      </c>
      <c r="AX103" s="12" t="str">
        <f>IF(検体毎項目情報!F104="","",検体毎項目情報!F104)</f>
        <v/>
      </c>
      <c r="AY103" s="12" t="str">
        <f>IF(検体毎項目情報!G104="","",検体毎項目情報!G104)</f>
        <v/>
      </c>
      <c r="AZ103" s="12" t="str">
        <f>IF(検体毎項目情報!H104="","",検体毎項目情報!H104)</f>
        <v/>
      </c>
      <c r="BA103" s="12" t="str">
        <f>IF(検体毎項目情報!I104="","",検体毎項目情報!I104)</f>
        <v/>
      </c>
      <c r="BB103" s="12" t="str">
        <f>IF(検体毎項目情報!J104="","",検体毎項目情報!J104)</f>
        <v/>
      </c>
      <c r="BC103" s="12" t="str">
        <f>IF(検体毎項目情報!K104="","",検体毎項目情報!K104)</f>
        <v/>
      </c>
      <c r="BD103" s="12" t="str">
        <f>IF(検体毎項目情報!L104="","",検体毎項目情報!L104)</f>
        <v/>
      </c>
      <c r="BE103" s="12" t="str">
        <f>IF(検体毎項目情報!M104="","",検体毎項目情報!M104)</f>
        <v/>
      </c>
      <c r="BF103" s="12" t="str">
        <f>IF(検体毎項目情報!N104="","",検体毎項目情報!N104)</f>
        <v/>
      </c>
      <c r="BG103" s="12" t="str">
        <f>IF(検体毎項目情報!O104="","",検体毎項目情報!O104)</f>
        <v/>
      </c>
      <c r="BH103" s="12" t="str">
        <f>IF(検体毎項目情報!P104="","",検体毎項目情報!P104)</f>
        <v/>
      </c>
      <c r="BI103" s="12" t="str">
        <f>IF(検体毎項目情報!Q104="","",検体毎項目情報!Q104)</f>
        <v/>
      </c>
      <c r="BJ103" s="12" t="str">
        <f>IF(検体毎項目情報!R104="","",検体毎項目情報!R104)</f>
        <v/>
      </c>
      <c r="BK103" s="12" t="str">
        <f>IF(検体毎項目情報!S104="","",検体毎項目情報!S104)</f>
        <v/>
      </c>
      <c r="BL103" s="12" t="str">
        <f>IF(検体毎項目情報!T104="","",検体毎項目情報!T104)</f>
        <v/>
      </c>
      <c r="BM103" s="12" t="str">
        <f>IF(検体毎項目情報!U104="","",検体毎項目情報!U104)</f>
        <v/>
      </c>
      <c r="BN103" s="12" t="str">
        <f>IF(検体毎項目情報!V104="","",検体毎項目情報!V104)</f>
        <v/>
      </c>
      <c r="BO103" s="12" t="str">
        <f>IF(検体毎項目情報!W104="","",検体毎項目情報!W104)</f>
        <v/>
      </c>
      <c r="BP103" s="12" t="str">
        <f>IF(検体毎項目情報!X104="","",検体毎項目情報!X104)</f>
        <v/>
      </c>
    </row>
    <row r="104" spans="44:68">
      <c r="AR104" s="32" t="str">
        <f>IF(AS104="","",COUNTIF(費用項目一覧!A:A,判定詳細!AU104))</f>
        <v/>
      </c>
      <c r="AS104" s="12" t="str">
        <f>IF(検体毎項目情報!A105="","",検体毎項目情報!A105)</f>
        <v/>
      </c>
      <c r="AT104" s="12" t="str">
        <f>IF(検体毎項目情報!B105="","",検体毎項目情報!B105)</f>
        <v/>
      </c>
      <c r="AU104" s="12" t="str">
        <f>IF(検体毎項目情報!C105="","",検体毎項目情報!C105)</f>
        <v/>
      </c>
      <c r="AV104" s="12" t="str">
        <f>IF(検体毎項目情報!D105="","",検体毎項目情報!D105)</f>
        <v/>
      </c>
      <c r="AW104" s="12" t="str">
        <f>IF(検体毎項目情報!E105="","",検体毎項目情報!E105)</f>
        <v/>
      </c>
      <c r="AX104" s="12" t="str">
        <f>IF(検体毎項目情報!F105="","",検体毎項目情報!F105)</f>
        <v/>
      </c>
      <c r="AY104" s="12" t="str">
        <f>IF(検体毎項目情報!G105="","",検体毎項目情報!G105)</f>
        <v/>
      </c>
      <c r="AZ104" s="12" t="str">
        <f>IF(検体毎項目情報!H105="","",検体毎項目情報!H105)</f>
        <v/>
      </c>
      <c r="BA104" s="12" t="str">
        <f>IF(検体毎項目情報!I105="","",検体毎項目情報!I105)</f>
        <v/>
      </c>
      <c r="BB104" s="12" t="str">
        <f>IF(検体毎項目情報!J105="","",検体毎項目情報!J105)</f>
        <v/>
      </c>
      <c r="BC104" s="12" t="str">
        <f>IF(検体毎項目情報!K105="","",検体毎項目情報!K105)</f>
        <v/>
      </c>
      <c r="BD104" s="12" t="str">
        <f>IF(検体毎項目情報!L105="","",検体毎項目情報!L105)</f>
        <v/>
      </c>
      <c r="BE104" s="12" t="str">
        <f>IF(検体毎項目情報!M105="","",検体毎項目情報!M105)</f>
        <v/>
      </c>
      <c r="BF104" s="12" t="str">
        <f>IF(検体毎項目情報!N105="","",検体毎項目情報!N105)</f>
        <v/>
      </c>
      <c r="BG104" s="12" t="str">
        <f>IF(検体毎項目情報!O105="","",検体毎項目情報!O105)</f>
        <v/>
      </c>
      <c r="BH104" s="12" t="str">
        <f>IF(検体毎項目情報!P105="","",検体毎項目情報!P105)</f>
        <v/>
      </c>
      <c r="BI104" s="12" t="str">
        <f>IF(検体毎項目情報!Q105="","",検体毎項目情報!Q105)</f>
        <v/>
      </c>
      <c r="BJ104" s="12" t="str">
        <f>IF(検体毎項目情報!R105="","",検体毎項目情報!R105)</f>
        <v/>
      </c>
      <c r="BK104" s="12" t="str">
        <f>IF(検体毎項目情報!S105="","",検体毎項目情報!S105)</f>
        <v/>
      </c>
      <c r="BL104" s="12" t="str">
        <f>IF(検体毎項目情報!T105="","",検体毎項目情報!T105)</f>
        <v/>
      </c>
      <c r="BM104" s="12" t="str">
        <f>IF(検体毎項目情報!U105="","",検体毎項目情報!U105)</f>
        <v/>
      </c>
      <c r="BN104" s="12" t="str">
        <f>IF(検体毎項目情報!V105="","",検体毎項目情報!V105)</f>
        <v/>
      </c>
      <c r="BO104" s="12" t="str">
        <f>IF(検体毎項目情報!W105="","",検体毎項目情報!W105)</f>
        <v/>
      </c>
      <c r="BP104" s="12" t="str">
        <f>IF(検体毎項目情報!X105="","",検体毎項目情報!X105)</f>
        <v/>
      </c>
    </row>
    <row r="105" spans="44:68">
      <c r="AR105" s="32" t="str">
        <f>IF(AS105="","",COUNTIF(費用項目一覧!A:A,判定詳細!AU105))</f>
        <v/>
      </c>
      <c r="AS105" s="12" t="str">
        <f>IF(検体毎項目情報!A106="","",検体毎項目情報!A106)</f>
        <v/>
      </c>
      <c r="AT105" s="12" t="str">
        <f>IF(検体毎項目情報!B106="","",検体毎項目情報!B106)</f>
        <v/>
      </c>
      <c r="AU105" s="12" t="str">
        <f>IF(検体毎項目情報!C106="","",検体毎項目情報!C106)</f>
        <v/>
      </c>
      <c r="AV105" s="12" t="str">
        <f>IF(検体毎項目情報!D106="","",検体毎項目情報!D106)</f>
        <v/>
      </c>
      <c r="AW105" s="12" t="str">
        <f>IF(検体毎項目情報!E106="","",検体毎項目情報!E106)</f>
        <v/>
      </c>
      <c r="AX105" s="12" t="str">
        <f>IF(検体毎項目情報!F106="","",検体毎項目情報!F106)</f>
        <v/>
      </c>
      <c r="AY105" s="12" t="str">
        <f>IF(検体毎項目情報!G106="","",検体毎項目情報!G106)</f>
        <v/>
      </c>
      <c r="AZ105" s="12" t="str">
        <f>IF(検体毎項目情報!H106="","",検体毎項目情報!H106)</f>
        <v/>
      </c>
      <c r="BA105" s="12" t="str">
        <f>IF(検体毎項目情報!I106="","",検体毎項目情報!I106)</f>
        <v/>
      </c>
      <c r="BB105" s="12" t="str">
        <f>IF(検体毎項目情報!J106="","",検体毎項目情報!J106)</f>
        <v/>
      </c>
      <c r="BC105" s="12" t="str">
        <f>IF(検体毎項目情報!K106="","",検体毎項目情報!K106)</f>
        <v/>
      </c>
      <c r="BD105" s="12" t="str">
        <f>IF(検体毎項目情報!L106="","",検体毎項目情報!L106)</f>
        <v/>
      </c>
      <c r="BE105" s="12" t="str">
        <f>IF(検体毎項目情報!M106="","",検体毎項目情報!M106)</f>
        <v/>
      </c>
      <c r="BF105" s="12" t="str">
        <f>IF(検体毎項目情報!N106="","",検体毎項目情報!N106)</f>
        <v/>
      </c>
      <c r="BG105" s="12" t="str">
        <f>IF(検体毎項目情報!O106="","",検体毎項目情報!O106)</f>
        <v/>
      </c>
      <c r="BH105" s="12" t="str">
        <f>IF(検体毎項目情報!P106="","",検体毎項目情報!P106)</f>
        <v/>
      </c>
      <c r="BI105" s="12" t="str">
        <f>IF(検体毎項目情報!Q106="","",検体毎項目情報!Q106)</f>
        <v/>
      </c>
      <c r="BJ105" s="12" t="str">
        <f>IF(検体毎項目情報!R106="","",検体毎項目情報!R106)</f>
        <v/>
      </c>
      <c r="BK105" s="12" t="str">
        <f>IF(検体毎項目情報!S106="","",検体毎項目情報!S106)</f>
        <v/>
      </c>
      <c r="BL105" s="12" t="str">
        <f>IF(検体毎項目情報!T106="","",検体毎項目情報!T106)</f>
        <v/>
      </c>
      <c r="BM105" s="12" t="str">
        <f>IF(検体毎項目情報!U106="","",検体毎項目情報!U106)</f>
        <v/>
      </c>
      <c r="BN105" s="12" t="str">
        <f>IF(検体毎項目情報!V106="","",検体毎項目情報!V106)</f>
        <v/>
      </c>
      <c r="BO105" s="12" t="str">
        <f>IF(検体毎項目情報!W106="","",検体毎項目情報!W106)</f>
        <v/>
      </c>
      <c r="BP105" s="12" t="str">
        <f>IF(検体毎項目情報!X106="","",検体毎項目情報!X106)</f>
        <v/>
      </c>
    </row>
    <row r="106" spans="44:68">
      <c r="AR106" s="32" t="str">
        <f>IF(AS106="","",COUNTIF(費用項目一覧!A:A,判定詳細!AU106))</f>
        <v/>
      </c>
      <c r="AS106" s="12" t="str">
        <f>IF(検体毎項目情報!A107="","",検体毎項目情報!A107)</f>
        <v/>
      </c>
      <c r="AT106" s="12" t="str">
        <f>IF(検体毎項目情報!B107="","",検体毎項目情報!B107)</f>
        <v/>
      </c>
      <c r="AU106" s="12" t="str">
        <f>IF(検体毎項目情報!C107="","",検体毎項目情報!C107)</f>
        <v/>
      </c>
      <c r="AV106" s="12" t="str">
        <f>IF(検体毎項目情報!D107="","",検体毎項目情報!D107)</f>
        <v/>
      </c>
      <c r="AW106" s="12" t="str">
        <f>IF(検体毎項目情報!E107="","",検体毎項目情報!E107)</f>
        <v/>
      </c>
      <c r="AX106" s="12" t="str">
        <f>IF(検体毎項目情報!F107="","",検体毎項目情報!F107)</f>
        <v/>
      </c>
      <c r="AY106" s="12" t="str">
        <f>IF(検体毎項目情報!G107="","",検体毎項目情報!G107)</f>
        <v/>
      </c>
      <c r="AZ106" s="12" t="str">
        <f>IF(検体毎項目情報!H107="","",検体毎項目情報!H107)</f>
        <v/>
      </c>
      <c r="BA106" s="12" t="str">
        <f>IF(検体毎項目情報!I107="","",検体毎項目情報!I107)</f>
        <v/>
      </c>
      <c r="BB106" s="12" t="str">
        <f>IF(検体毎項目情報!J107="","",検体毎項目情報!J107)</f>
        <v/>
      </c>
      <c r="BC106" s="12" t="str">
        <f>IF(検体毎項目情報!K107="","",検体毎項目情報!K107)</f>
        <v/>
      </c>
      <c r="BD106" s="12" t="str">
        <f>IF(検体毎項目情報!L107="","",検体毎項目情報!L107)</f>
        <v/>
      </c>
      <c r="BE106" s="12" t="str">
        <f>IF(検体毎項目情報!M107="","",検体毎項目情報!M107)</f>
        <v/>
      </c>
      <c r="BF106" s="12" t="str">
        <f>IF(検体毎項目情報!N107="","",検体毎項目情報!N107)</f>
        <v/>
      </c>
      <c r="BG106" s="12" t="str">
        <f>IF(検体毎項目情報!O107="","",検体毎項目情報!O107)</f>
        <v/>
      </c>
      <c r="BH106" s="12" t="str">
        <f>IF(検体毎項目情報!P107="","",検体毎項目情報!P107)</f>
        <v/>
      </c>
      <c r="BI106" s="12" t="str">
        <f>IF(検体毎項目情報!Q107="","",検体毎項目情報!Q107)</f>
        <v/>
      </c>
      <c r="BJ106" s="12" t="str">
        <f>IF(検体毎項目情報!R107="","",検体毎項目情報!R107)</f>
        <v/>
      </c>
      <c r="BK106" s="12" t="str">
        <f>IF(検体毎項目情報!S107="","",検体毎項目情報!S107)</f>
        <v/>
      </c>
      <c r="BL106" s="12" t="str">
        <f>IF(検体毎項目情報!T107="","",検体毎項目情報!T107)</f>
        <v/>
      </c>
      <c r="BM106" s="12" t="str">
        <f>IF(検体毎項目情報!U107="","",検体毎項目情報!U107)</f>
        <v/>
      </c>
      <c r="BN106" s="12" t="str">
        <f>IF(検体毎項目情報!V107="","",検体毎項目情報!V107)</f>
        <v/>
      </c>
      <c r="BO106" s="12" t="str">
        <f>IF(検体毎項目情報!W107="","",検体毎項目情報!W107)</f>
        <v/>
      </c>
      <c r="BP106" s="12" t="str">
        <f>IF(検体毎項目情報!X107="","",検体毎項目情報!X107)</f>
        <v/>
      </c>
    </row>
    <row r="107" spans="44:68">
      <c r="AR107" s="32" t="str">
        <f>IF(AS107="","",COUNTIF(費用項目一覧!A:A,判定詳細!AU107))</f>
        <v/>
      </c>
      <c r="AS107" s="12" t="str">
        <f>IF(検体毎項目情報!A108="","",検体毎項目情報!A108)</f>
        <v/>
      </c>
      <c r="AT107" s="12" t="str">
        <f>IF(検体毎項目情報!B108="","",検体毎項目情報!B108)</f>
        <v/>
      </c>
      <c r="AU107" s="12" t="str">
        <f>IF(検体毎項目情報!C108="","",検体毎項目情報!C108)</f>
        <v/>
      </c>
      <c r="AV107" s="12" t="str">
        <f>IF(検体毎項目情報!D108="","",検体毎項目情報!D108)</f>
        <v/>
      </c>
      <c r="AW107" s="12" t="str">
        <f>IF(検体毎項目情報!E108="","",検体毎項目情報!E108)</f>
        <v/>
      </c>
      <c r="AX107" s="12" t="str">
        <f>IF(検体毎項目情報!F108="","",検体毎項目情報!F108)</f>
        <v/>
      </c>
      <c r="AY107" s="12" t="str">
        <f>IF(検体毎項目情報!G108="","",検体毎項目情報!G108)</f>
        <v/>
      </c>
      <c r="AZ107" s="12" t="str">
        <f>IF(検体毎項目情報!H108="","",検体毎項目情報!H108)</f>
        <v/>
      </c>
      <c r="BA107" s="12" t="str">
        <f>IF(検体毎項目情報!I108="","",検体毎項目情報!I108)</f>
        <v/>
      </c>
      <c r="BB107" s="12" t="str">
        <f>IF(検体毎項目情報!J108="","",検体毎項目情報!J108)</f>
        <v/>
      </c>
      <c r="BC107" s="12" t="str">
        <f>IF(検体毎項目情報!K108="","",検体毎項目情報!K108)</f>
        <v/>
      </c>
      <c r="BD107" s="12" t="str">
        <f>IF(検体毎項目情報!L108="","",検体毎項目情報!L108)</f>
        <v/>
      </c>
      <c r="BE107" s="12" t="str">
        <f>IF(検体毎項目情報!M108="","",検体毎項目情報!M108)</f>
        <v/>
      </c>
      <c r="BF107" s="12" t="str">
        <f>IF(検体毎項目情報!N108="","",検体毎項目情報!N108)</f>
        <v/>
      </c>
      <c r="BG107" s="12" t="str">
        <f>IF(検体毎項目情報!O108="","",検体毎項目情報!O108)</f>
        <v/>
      </c>
      <c r="BH107" s="12" t="str">
        <f>IF(検体毎項目情報!P108="","",検体毎項目情報!P108)</f>
        <v/>
      </c>
      <c r="BI107" s="12" t="str">
        <f>IF(検体毎項目情報!Q108="","",検体毎項目情報!Q108)</f>
        <v/>
      </c>
      <c r="BJ107" s="12" t="str">
        <f>IF(検体毎項目情報!R108="","",検体毎項目情報!R108)</f>
        <v/>
      </c>
      <c r="BK107" s="12" t="str">
        <f>IF(検体毎項目情報!S108="","",検体毎項目情報!S108)</f>
        <v/>
      </c>
      <c r="BL107" s="12" t="str">
        <f>IF(検体毎項目情報!T108="","",検体毎項目情報!T108)</f>
        <v/>
      </c>
      <c r="BM107" s="12" t="str">
        <f>IF(検体毎項目情報!U108="","",検体毎項目情報!U108)</f>
        <v/>
      </c>
      <c r="BN107" s="12" t="str">
        <f>IF(検体毎項目情報!V108="","",検体毎項目情報!V108)</f>
        <v/>
      </c>
      <c r="BO107" s="12" t="str">
        <f>IF(検体毎項目情報!W108="","",検体毎項目情報!W108)</f>
        <v/>
      </c>
      <c r="BP107" s="12" t="str">
        <f>IF(検体毎項目情報!X108="","",検体毎項目情報!X108)</f>
        <v/>
      </c>
    </row>
    <row r="108" spans="44:68">
      <c r="AR108" s="32" t="str">
        <f>IF(AS108="","",COUNTIF(費用項目一覧!A:A,判定詳細!AU108))</f>
        <v/>
      </c>
      <c r="AS108" s="12" t="str">
        <f>IF(検体毎項目情報!A109="","",検体毎項目情報!A109)</f>
        <v/>
      </c>
      <c r="AT108" s="12" t="str">
        <f>IF(検体毎項目情報!B109="","",検体毎項目情報!B109)</f>
        <v/>
      </c>
      <c r="AU108" s="12" t="str">
        <f>IF(検体毎項目情報!C109="","",検体毎項目情報!C109)</f>
        <v/>
      </c>
      <c r="AV108" s="12" t="str">
        <f>IF(検体毎項目情報!D109="","",検体毎項目情報!D109)</f>
        <v/>
      </c>
      <c r="AW108" s="12" t="str">
        <f>IF(検体毎項目情報!E109="","",検体毎項目情報!E109)</f>
        <v/>
      </c>
      <c r="AX108" s="12" t="str">
        <f>IF(検体毎項目情報!F109="","",検体毎項目情報!F109)</f>
        <v/>
      </c>
      <c r="AY108" s="12" t="str">
        <f>IF(検体毎項目情報!G109="","",検体毎項目情報!G109)</f>
        <v/>
      </c>
      <c r="AZ108" s="12" t="str">
        <f>IF(検体毎項目情報!H109="","",検体毎項目情報!H109)</f>
        <v/>
      </c>
      <c r="BA108" s="12" t="str">
        <f>IF(検体毎項目情報!I109="","",検体毎項目情報!I109)</f>
        <v/>
      </c>
      <c r="BB108" s="12" t="str">
        <f>IF(検体毎項目情報!J109="","",検体毎項目情報!J109)</f>
        <v/>
      </c>
      <c r="BC108" s="12" t="str">
        <f>IF(検体毎項目情報!K109="","",検体毎項目情報!K109)</f>
        <v/>
      </c>
      <c r="BD108" s="12" t="str">
        <f>IF(検体毎項目情報!L109="","",検体毎項目情報!L109)</f>
        <v/>
      </c>
      <c r="BE108" s="12" t="str">
        <f>IF(検体毎項目情報!M109="","",検体毎項目情報!M109)</f>
        <v/>
      </c>
      <c r="BF108" s="12" t="str">
        <f>IF(検体毎項目情報!N109="","",検体毎項目情報!N109)</f>
        <v/>
      </c>
      <c r="BG108" s="12" t="str">
        <f>IF(検体毎項目情報!O109="","",検体毎項目情報!O109)</f>
        <v/>
      </c>
      <c r="BH108" s="12" t="str">
        <f>IF(検体毎項目情報!P109="","",検体毎項目情報!P109)</f>
        <v/>
      </c>
      <c r="BI108" s="12" t="str">
        <f>IF(検体毎項目情報!Q109="","",検体毎項目情報!Q109)</f>
        <v/>
      </c>
      <c r="BJ108" s="12" t="str">
        <f>IF(検体毎項目情報!R109="","",検体毎項目情報!R109)</f>
        <v/>
      </c>
      <c r="BK108" s="12" t="str">
        <f>IF(検体毎項目情報!S109="","",検体毎項目情報!S109)</f>
        <v/>
      </c>
      <c r="BL108" s="12" t="str">
        <f>IF(検体毎項目情報!T109="","",検体毎項目情報!T109)</f>
        <v/>
      </c>
      <c r="BM108" s="12" t="str">
        <f>IF(検体毎項目情報!U109="","",検体毎項目情報!U109)</f>
        <v/>
      </c>
      <c r="BN108" s="12" t="str">
        <f>IF(検体毎項目情報!V109="","",検体毎項目情報!V109)</f>
        <v/>
      </c>
      <c r="BO108" s="12" t="str">
        <f>IF(検体毎項目情報!W109="","",検体毎項目情報!W109)</f>
        <v/>
      </c>
      <c r="BP108" s="12" t="str">
        <f>IF(検体毎項目情報!X109="","",検体毎項目情報!X109)</f>
        <v/>
      </c>
    </row>
    <row r="109" spans="44:68">
      <c r="AR109" s="32" t="str">
        <f>IF(AS109="","",COUNTIF(費用項目一覧!A:A,判定詳細!AU109))</f>
        <v/>
      </c>
      <c r="AS109" s="12" t="str">
        <f>IF(検体毎項目情報!A110="","",検体毎項目情報!A110)</f>
        <v/>
      </c>
      <c r="AT109" s="12" t="str">
        <f>IF(検体毎項目情報!B110="","",検体毎項目情報!B110)</f>
        <v/>
      </c>
      <c r="AU109" s="12" t="str">
        <f>IF(検体毎項目情報!C110="","",検体毎項目情報!C110)</f>
        <v/>
      </c>
      <c r="AV109" s="12" t="str">
        <f>IF(検体毎項目情報!D110="","",検体毎項目情報!D110)</f>
        <v/>
      </c>
      <c r="AW109" s="12" t="str">
        <f>IF(検体毎項目情報!E110="","",検体毎項目情報!E110)</f>
        <v/>
      </c>
      <c r="AX109" s="12" t="str">
        <f>IF(検体毎項目情報!F110="","",検体毎項目情報!F110)</f>
        <v/>
      </c>
      <c r="AY109" s="12" t="str">
        <f>IF(検体毎項目情報!G110="","",検体毎項目情報!G110)</f>
        <v/>
      </c>
      <c r="AZ109" s="12" t="str">
        <f>IF(検体毎項目情報!H110="","",検体毎項目情報!H110)</f>
        <v/>
      </c>
      <c r="BA109" s="12" t="str">
        <f>IF(検体毎項目情報!I110="","",検体毎項目情報!I110)</f>
        <v/>
      </c>
      <c r="BB109" s="12" t="str">
        <f>IF(検体毎項目情報!J110="","",検体毎項目情報!J110)</f>
        <v/>
      </c>
      <c r="BC109" s="12" t="str">
        <f>IF(検体毎項目情報!K110="","",検体毎項目情報!K110)</f>
        <v/>
      </c>
      <c r="BD109" s="12" t="str">
        <f>IF(検体毎項目情報!L110="","",検体毎項目情報!L110)</f>
        <v/>
      </c>
      <c r="BE109" s="12" t="str">
        <f>IF(検体毎項目情報!M110="","",検体毎項目情報!M110)</f>
        <v/>
      </c>
      <c r="BF109" s="12" t="str">
        <f>IF(検体毎項目情報!N110="","",検体毎項目情報!N110)</f>
        <v/>
      </c>
      <c r="BG109" s="12" t="str">
        <f>IF(検体毎項目情報!O110="","",検体毎項目情報!O110)</f>
        <v/>
      </c>
      <c r="BH109" s="12" t="str">
        <f>IF(検体毎項目情報!P110="","",検体毎項目情報!P110)</f>
        <v/>
      </c>
      <c r="BI109" s="12" t="str">
        <f>IF(検体毎項目情報!Q110="","",検体毎項目情報!Q110)</f>
        <v/>
      </c>
      <c r="BJ109" s="12" t="str">
        <f>IF(検体毎項目情報!R110="","",検体毎項目情報!R110)</f>
        <v/>
      </c>
      <c r="BK109" s="12" t="str">
        <f>IF(検体毎項目情報!S110="","",検体毎項目情報!S110)</f>
        <v/>
      </c>
      <c r="BL109" s="12" t="str">
        <f>IF(検体毎項目情報!T110="","",検体毎項目情報!T110)</f>
        <v/>
      </c>
      <c r="BM109" s="12" t="str">
        <f>IF(検体毎項目情報!U110="","",検体毎項目情報!U110)</f>
        <v/>
      </c>
      <c r="BN109" s="12" t="str">
        <f>IF(検体毎項目情報!V110="","",検体毎項目情報!V110)</f>
        <v/>
      </c>
      <c r="BO109" s="12" t="str">
        <f>IF(検体毎項目情報!W110="","",検体毎項目情報!W110)</f>
        <v/>
      </c>
      <c r="BP109" s="12" t="str">
        <f>IF(検体毎項目情報!X110="","",検体毎項目情報!X110)</f>
        <v/>
      </c>
    </row>
    <row r="110" spans="44:68">
      <c r="AR110" s="32" t="str">
        <f>IF(AS110="","",COUNTIF(費用項目一覧!A:A,判定詳細!AU110))</f>
        <v/>
      </c>
      <c r="AS110" s="12" t="str">
        <f>IF(検体毎項目情報!A111="","",検体毎項目情報!A111)</f>
        <v/>
      </c>
      <c r="AT110" s="12" t="str">
        <f>IF(検体毎項目情報!B111="","",検体毎項目情報!B111)</f>
        <v/>
      </c>
      <c r="AU110" s="12" t="str">
        <f>IF(検体毎項目情報!C111="","",検体毎項目情報!C111)</f>
        <v/>
      </c>
      <c r="AV110" s="12" t="str">
        <f>IF(検体毎項目情報!D111="","",検体毎項目情報!D111)</f>
        <v/>
      </c>
      <c r="AW110" s="12" t="str">
        <f>IF(検体毎項目情報!E111="","",検体毎項目情報!E111)</f>
        <v/>
      </c>
      <c r="AX110" s="12" t="str">
        <f>IF(検体毎項目情報!F111="","",検体毎項目情報!F111)</f>
        <v/>
      </c>
      <c r="AY110" s="12" t="str">
        <f>IF(検体毎項目情報!G111="","",検体毎項目情報!G111)</f>
        <v/>
      </c>
      <c r="AZ110" s="12" t="str">
        <f>IF(検体毎項目情報!H111="","",検体毎項目情報!H111)</f>
        <v/>
      </c>
      <c r="BA110" s="12" t="str">
        <f>IF(検体毎項目情報!I111="","",検体毎項目情報!I111)</f>
        <v/>
      </c>
      <c r="BB110" s="12" t="str">
        <f>IF(検体毎項目情報!J111="","",検体毎項目情報!J111)</f>
        <v/>
      </c>
      <c r="BC110" s="12" t="str">
        <f>IF(検体毎項目情報!K111="","",検体毎項目情報!K111)</f>
        <v/>
      </c>
      <c r="BD110" s="12" t="str">
        <f>IF(検体毎項目情報!L111="","",検体毎項目情報!L111)</f>
        <v/>
      </c>
      <c r="BE110" s="12" t="str">
        <f>IF(検体毎項目情報!M111="","",検体毎項目情報!M111)</f>
        <v/>
      </c>
      <c r="BF110" s="12" t="str">
        <f>IF(検体毎項目情報!N111="","",検体毎項目情報!N111)</f>
        <v/>
      </c>
      <c r="BG110" s="12" t="str">
        <f>IF(検体毎項目情報!O111="","",検体毎項目情報!O111)</f>
        <v/>
      </c>
      <c r="BH110" s="12" t="str">
        <f>IF(検体毎項目情報!P111="","",検体毎項目情報!P111)</f>
        <v/>
      </c>
      <c r="BI110" s="12" t="str">
        <f>IF(検体毎項目情報!Q111="","",検体毎項目情報!Q111)</f>
        <v/>
      </c>
      <c r="BJ110" s="12" t="str">
        <f>IF(検体毎項目情報!R111="","",検体毎項目情報!R111)</f>
        <v/>
      </c>
      <c r="BK110" s="12" t="str">
        <f>IF(検体毎項目情報!S111="","",検体毎項目情報!S111)</f>
        <v/>
      </c>
      <c r="BL110" s="12" t="str">
        <f>IF(検体毎項目情報!T111="","",検体毎項目情報!T111)</f>
        <v/>
      </c>
      <c r="BM110" s="12" t="str">
        <f>IF(検体毎項目情報!U111="","",検体毎項目情報!U111)</f>
        <v/>
      </c>
      <c r="BN110" s="12" t="str">
        <f>IF(検体毎項目情報!V111="","",検体毎項目情報!V111)</f>
        <v/>
      </c>
      <c r="BO110" s="12" t="str">
        <f>IF(検体毎項目情報!W111="","",検体毎項目情報!W111)</f>
        <v/>
      </c>
      <c r="BP110" s="12" t="str">
        <f>IF(検体毎項目情報!X111="","",検体毎項目情報!X111)</f>
        <v/>
      </c>
    </row>
    <row r="111" spans="44:68">
      <c r="AR111" s="32" t="str">
        <f>IF(AS111="","",COUNTIF(費用項目一覧!A:A,判定詳細!AU111))</f>
        <v/>
      </c>
      <c r="AS111" s="12" t="str">
        <f>IF(検体毎項目情報!A112="","",検体毎項目情報!A112)</f>
        <v/>
      </c>
      <c r="AT111" s="12" t="str">
        <f>IF(検体毎項目情報!B112="","",検体毎項目情報!B112)</f>
        <v/>
      </c>
      <c r="AU111" s="12" t="str">
        <f>IF(検体毎項目情報!C112="","",検体毎項目情報!C112)</f>
        <v/>
      </c>
      <c r="AV111" s="12" t="str">
        <f>IF(検体毎項目情報!D112="","",検体毎項目情報!D112)</f>
        <v/>
      </c>
      <c r="AW111" s="12" t="str">
        <f>IF(検体毎項目情報!E112="","",検体毎項目情報!E112)</f>
        <v/>
      </c>
      <c r="AX111" s="12" t="str">
        <f>IF(検体毎項目情報!F112="","",検体毎項目情報!F112)</f>
        <v/>
      </c>
      <c r="AY111" s="12" t="str">
        <f>IF(検体毎項目情報!G112="","",検体毎項目情報!G112)</f>
        <v/>
      </c>
      <c r="AZ111" s="12" t="str">
        <f>IF(検体毎項目情報!H112="","",検体毎項目情報!H112)</f>
        <v/>
      </c>
      <c r="BA111" s="12" t="str">
        <f>IF(検体毎項目情報!I112="","",検体毎項目情報!I112)</f>
        <v/>
      </c>
      <c r="BB111" s="12" t="str">
        <f>IF(検体毎項目情報!J112="","",検体毎項目情報!J112)</f>
        <v/>
      </c>
      <c r="BC111" s="12" t="str">
        <f>IF(検体毎項目情報!K112="","",検体毎項目情報!K112)</f>
        <v/>
      </c>
      <c r="BD111" s="12" t="str">
        <f>IF(検体毎項目情報!L112="","",検体毎項目情報!L112)</f>
        <v/>
      </c>
      <c r="BE111" s="12" t="str">
        <f>IF(検体毎項目情報!M112="","",検体毎項目情報!M112)</f>
        <v/>
      </c>
      <c r="BF111" s="12" t="str">
        <f>IF(検体毎項目情報!N112="","",検体毎項目情報!N112)</f>
        <v/>
      </c>
      <c r="BG111" s="12" t="str">
        <f>IF(検体毎項目情報!O112="","",検体毎項目情報!O112)</f>
        <v/>
      </c>
      <c r="BH111" s="12" t="str">
        <f>IF(検体毎項目情報!P112="","",検体毎項目情報!P112)</f>
        <v/>
      </c>
      <c r="BI111" s="12" t="str">
        <f>IF(検体毎項目情報!Q112="","",検体毎項目情報!Q112)</f>
        <v/>
      </c>
      <c r="BJ111" s="12" t="str">
        <f>IF(検体毎項目情報!R112="","",検体毎項目情報!R112)</f>
        <v/>
      </c>
      <c r="BK111" s="12" t="str">
        <f>IF(検体毎項目情報!S112="","",検体毎項目情報!S112)</f>
        <v/>
      </c>
      <c r="BL111" s="12" t="str">
        <f>IF(検体毎項目情報!T112="","",検体毎項目情報!T112)</f>
        <v/>
      </c>
      <c r="BM111" s="12" t="str">
        <f>IF(検体毎項目情報!U112="","",検体毎項目情報!U112)</f>
        <v/>
      </c>
      <c r="BN111" s="12" t="str">
        <f>IF(検体毎項目情報!V112="","",検体毎項目情報!V112)</f>
        <v/>
      </c>
      <c r="BO111" s="12" t="str">
        <f>IF(検体毎項目情報!W112="","",検体毎項目情報!W112)</f>
        <v/>
      </c>
      <c r="BP111" s="12" t="str">
        <f>IF(検体毎項目情報!X112="","",検体毎項目情報!X112)</f>
        <v/>
      </c>
    </row>
    <row r="112" spans="44:68">
      <c r="AR112" s="32" t="str">
        <f>IF(AS112="","",COUNTIF(費用項目一覧!A:A,判定詳細!AU112))</f>
        <v/>
      </c>
      <c r="AS112" s="12" t="str">
        <f>IF(検体毎項目情報!A113="","",検体毎項目情報!A113)</f>
        <v/>
      </c>
      <c r="AT112" s="12" t="str">
        <f>IF(検体毎項目情報!B113="","",検体毎項目情報!B113)</f>
        <v/>
      </c>
      <c r="AU112" s="12" t="str">
        <f>IF(検体毎項目情報!C113="","",検体毎項目情報!C113)</f>
        <v/>
      </c>
      <c r="AV112" s="12" t="str">
        <f>IF(検体毎項目情報!D113="","",検体毎項目情報!D113)</f>
        <v/>
      </c>
      <c r="AW112" s="12" t="str">
        <f>IF(検体毎項目情報!E113="","",検体毎項目情報!E113)</f>
        <v/>
      </c>
      <c r="AX112" s="12" t="str">
        <f>IF(検体毎項目情報!F113="","",検体毎項目情報!F113)</f>
        <v/>
      </c>
      <c r="AY112" s="12" t="str">
        <f>IF(検体毎項目情報!G113="","",検体毎項目情報!G113)</f>
        <v/>
      </c>
      <c r="AZ112" s="12" t="str">
        <f>IF(検体毎項目情報!H113="","",検体毎項目情報!H113)</f>
        <v/>
      </c>
      <c r="BA112" s="12" t="str">
        <f>IF(検体毎項目情報!I113="","",検体毎項目情報!I113)</f>
        <v/>
      </c>
      <c r="BB112" s="12" t="str">
        <f>IF(検体毎項目情報!J113="","",検体毎項目情報!J113)</f>
        <v/>
      </c>
      <c r="BC112" s="12" t="str">
        <f>IF(検体毎項目情報!K113="","",検体毎項目情報!K113)</f>
        <v/>
      </c>
      <c r="BD112" s="12" t="str">
        <f>IF(検体毎項目情報!L113="","",検体毎項目情報!L113)</f>
        <v/>
      </c>
      <c r="BE112" s="12" t="str">
        <f>IF(検体毎項目情報!M113="","",検体毎項目情報!M113)</f>
        <v/>
      </c>
      <c r="BF112" s="12" t="str">
        <f>IF(検体毎項目情報!N113="","",検体毎項目情報!N113)</f>
        <v/>
      </c>
      <c r="BG112" s="12" t="str">
        <f>IF(検体毎項目情報!O113="","",検体毎項目情報!O113)</f>
        <v/>
      </c>
      <c r="BH112" s="12" t="str">
        <f>IF(検体毎項目情報!P113="","",検体毎項目情報!P113)</f>
        <v/>
      </c>
      <c r="BI112" s="12" t="str">
        <f>IF(検体毎項目情報!Q113="","",検体毎項目情報!Q113)</f>
        <v/>
      </c>
      <c r="BJ112" s="12" t="str">
        <f>IF(検体毎項目情報!R113="","",検体毎項目情報!R113)</f>
        <v/>
      </c>
      <c r="BK112" s="12" t="str">
        <f>IF(検体毎項目情報!S113="","",検体毎項目情報!S113)</f>
        <v/>
      </c>
      <c r="BL112" s="12" t="str">
        <f>IF(検体毎項目情報!T113="","",検体毎項目情報!T113)</f>
        <v/>
      </c>
      <c r="BM112" s="12" t="str">
        <f>IF(検体毎項目情報!U113="","",検体毎項目情報!U113)</f>
        <v/>
      </c>
      <c r="BN112" s="12" t="str">
        <f>IF(検体毎項目情報!V113="","",検体毎項目情報!V113)</f>
        <v/>
      </c>
      <c r="BO112" s="12" t="str">
        <f>IF(検体毎項目情報!W113="","",検体毎項目情報!W113)</f>
        <v/>
      </c>
      <c r="BP112" s="12" t="str">
        <f>IF(検体毎項目情報!X113="","",検体毎項目情報!X113)</f>
        <v/>
      </c>
    </row>
    <row r="113" spans="44:68">
      <c r="AR113" s="32" t="str">
        <f>IF(AS113="","",COUNTIF(費用項目一覧!A:A,判定詳細!AU113))</f>
        <v/>
      </c>
      <c r="AS113" s="12" t="str">
        <f>IF(検体毎項目情報!A114="","",検体毎項目情報!A114)</f>
        <v/>
      </c>
      <c r="AT113" s="12" t="str">
        <f>IF(検体毎項目情報!B114="","",検体毎項目情報!B114)</f>
        <v/>
      </c>
      <c r="AU113" s="12" t="str">
        <f>IF(検体毎項目情報!C114="","",検体毎項目情報!C114)</f>
        <v/>
      </c>
      <c r="AV113" s="12" t="str">
        <f>IF(検体毎項目情報!D114="","",検体毎項目情報!D114)</f>
        <v/>
      </c>
      <c r="AW113" s="12" t="str">
        <f>IF(検体毎項目情報!E114="","",検体毎項目情報!E114)</f>
        <v/>
      </c>
      <c r="AX113" s="12" t="str">
        <f>IF(検体毎項目情報!F114="","",検体毎項目情報!F114)</f>
        <v/>
      </c>
      <c r="AY113" s="12" t="str">
        <f>IF(検体毎項目情報!G114="","",検体毎項目情報!G114)</f>
        <v/>
      </c>
      <c r="AZ113" s="12" t="str">
        <f>IF(検体毎項目情報!H114="","",検体毎項目情報!H114)</f>
        <v/>
      </c>
      <c r="BA113" s="12" t="str">
        <f>IF(検体毎項目情報!I114="","",検体毎項目情報!I114)</f>
        <v/>
      </c>
      <c r="BB113" s="12" t="str">
        <f>IF(検体毎項目情報!J114="","",検体毎項目情報!J114)</f>
        <v/>
      </c>
      <c r="BC113" s="12" t="str">
        <f>IF(検体毎項目情報!K114="","",検体毎項目情報!K114)</f>
        <v/>
      </c>
      <c r="BD113" s="12" t="str">
        <f>IF(検体毎項目情報!L114="","",検体毎項目情報!L114)</f>
        <v/>
      </c>
      <c r="BE113" s="12" t="str">
        <f>IF(検体毎項目情報!M114="","",検体毎項目情報!M114)</f>
        <v/>
      </c>
      <c r="BF113" s="12" t="str">
        <f>IF(検体毎項目情報!N114="","",検体毎項目情報!N114)</f>
        <v/>
      </c>
      <c r="BG113" s="12" t="str">
        <f>IF(検体毎項目情報!O114="","",検体毎項目情報!O114)</f>
        <v/>
      </c>
      <c r="BH113" s="12" t="str">
        <f>IF(検体毎項目情報!P114="","",検体毎項目情報!P114)</f>
        <v/>
      </c>
      <c r="BI113" s="12" t="str">
        <f>IF(検体毎項目情報!Q114="","",検体毎項目情報!Q114)</f>
        <v/>
      </c>
      <c r="BJ113" s="12" t="str">
        <f>IF(検体毎項目情報!R114="","",検体毎項目情報!R114)</f>
        <v/>
      </c>
      <c r="BK113" s="12" t="str">
        <f>IF(検体毎項目情報!S114="","",検体毎項目情報!S114)</f>
        <v/>
      </c>
      <c r="BL113" s="12" t="str">
        <f>IF(検体毎項目情報!T114="","",検体毎項目情報!T114)</f>
        <v/>
      </c>
      <c r="BM113" s="12" t="str">
        <f>IF(検体毎項目情報!U114="","",検体毎項目情報!U114)</f>
        <v/>
      </c>
      <c r="BN113" s="12" t="str">
        <f>IF(検体毎項目情報!V114="","",検体毎項目情報!V114)</f>
        <v/>
      </c>
      <c r="BO113" s="12" t="str">
        <f>IF(検体毎項目情報!W114="","",検体毎項目情報!W114)</f>
        <v/>
      </c>
      <c r="BP113" s="12" t="str">
        <f>IF(検体毎項目情報!X114="","",検体毎項目情報!X114)</f>
        <v/>
      </c>
    </row>
    <row r="114" spans="44:68">
      <c r="AR114" s="32" t="str">
        <f>IF(AS114="","",COUNTIF(費用項目一覧!A:A,判定詳細!AU114))</f>
        <v/>
      </c>
      <c r="AS114" s="12" t="str">
        <f>IF(検体毎項目情報!A115="","",検体毎項目情報!A115)</f>
        <v/>
      </c>
      <c r="AT114" s="12" t="str">
        <f>IF(検体毎項目情報!B115="","",検体毎項目情報!B115)</f>
        <v/>
      </c>
      <c r="AU114" s="12" t="str">
        <f>IF(検体毎項目情報!C115="","",検体毎項目情報!C115)</f>
        <v/>
      </c>
      <c r="AV114" s="12" t="str">
        <f>IF(検体毎項目情報!D115="","",検体毎項目情報!D115)</f>
        <v/>
      </c>
      <c r="AW114" s="12" t="str">
        <f>IF(検体毎項目情報!E115="","",検体毎項目情報!E115)</f>
        <v/>
      </c>
      <c r="AX114" s="12" t="str">
        <f>IF(検体毎項目情報!F115="","",検体毎項目情報!F115)</f>
        <v/>
      </c>
      <c r="AY114" s="12" t="str">
        <f>IF(検体毎項目情報!G115="","",検体毎項目情報!G115)</f>
        <v/>
      </c>
      <c r="AZ114" s="12" t="str">
        <f>IF(検体毎項目情報!H115="","",検体毎項目情報!H115)</f>
        <v/>
      </c>
      <c r="BA114" s="12" t="str">
        <f>IF(検体毎項目情報!I115="","",検体毎項目情報!I115)</f>
        <v/>
      </c>
      <c r="BB114" s="12" t="str">
        <f>IF(検体毎項目情報!J115="","",検体毎項目情報!J115)</f>
        <v/>
      </c>
      <c r="BC114" s="12" t="str">
        <f>IF(検体毎項目情報!K115="","",検体毎項目情報!K115)</f>
        <v/>
      </c>
      <c r="BD114" s="12" t="str">
        <f>IF(検体毎項目情報!L115="","",検体毎項目情報!L115)</f>
        <v/>
      </c>
      <c r="BE114" s="12" t="str">
        <f>IF(検体毎項目情報!M115="","",検体毎項目情報!M115)</f>
        <v/>
      </c>
      <c r="BF114" s="12" t="str">
        <f>IF(検体毎項目情報!N115="","",検体毎項目情報!N115)</f>
        <v/>
      </c>
      <c r="BG114" s="12" t="str">
        <f>IF(検体毎項目情報!O115="","",検体毎項目情報!O115)</f>
        <v/>
      </c>
      <c r="BH114" s="12" t="str">
        <f>IF(検体毎項目情報!P115="","",検体毎項目情報!P115)</f>
        <v/>
      </c>
      <c r="BI114" s="12" t="str">
        <f>IF(検体毎項目情報!Q115="","",検体毎項目情報!Q115)</f>
        <v/>
      </c>
      <c r="BJ114" s="12" t="str">
        <f>IF(検体毎項目情報!R115="","",検体毎項目情報!R115)</f>
        <v/>
      </c>
      <c r="BK114" s="12" t="str">
        <f>IF(検体毎項目情報!S115="","",検体毎項目情報!S115)</f>
        <v/>
      </c>
      <c r="BL114" s="12" t="str">
        <f>IF(検体毎項目情報!T115="","",検体毎項目情報!T115)</f>
        <v/>
      </c>
      <c r="BM114" s="12" t="str">
        <f>IF(検体毎項目情報!U115="","",検体毎項目情報!U115)</f>
        <v/>
      </c>
      <c r="BN114" s="12" t="str">
        <f>IF(検体毎項目情報!V115="","",検体毎項目情報!V115)</f>
        <v/>
      </c>
      <c r="BO114" s="12" t="str">
        <f>IF(検体毎項目情報!W115="","",検体毎項目情報!W115)</f>
        <v/>
      </c>
      <c r="BP114" s="12" t="str">
        <f>IF(検体毎項目情報!X115="","",検体毎項目情報!X115)</f>
        <v/>
      </c>
    </row>
    <row r="115" spans="44:68">
      <c r="AR115" s="32" t="str">
        <f>IF(AS115="","",COUNTIF(費用項目一覧!A:A,判定詳細!AU115))</f>
        <v/>
      </c>
      <c r="AS115" s="12" t="str">
        <f>IF(検体毎項目情報!A116="","",検体毎項目情報!A116)</f>
        <v/>
      </c>
      <c r="AT115" s="12" t="str">
        <f>IF(検体毎項目情報!B116="","",検体毎項目情報!B116)</f>
        <v/>
      </c>
      <c r="AU115" s="12" t="str">
        <f>IF(検体毎項目情報!C116="","",検体毎項目情報!C116)</f>
        <v/>
      </c>
      <c r="AV115" s="12" t="str">
        <f>IF(検体毎項目情報!D116="","",検体毎項目情報!D116)</f>
        <v/>
      </c>
      <c r="AW115" s="12" t="str">
        <f>IF(検体毎項目情報!E116="","",検体毎項目情報!E116)</f>
        <v/>
      </c>
      <c r="AX115" s="12" t="str">
        <f>IF(検体毎項目情報!F116="","",検体毎項目情報!F116)</f>
        <v/>
      </c>
      <c r="AY115" s="12" t="str">
        <f>IF(検体毎項目情報!G116="","",検体毎項目情報!G116)</f>
        <v/>
      </c>
      <c r="AZ115" s="12" t="str">
        <f>IF(検体毎項目情報!H116="","",検体毎項目情報!H116)</f>
        <v/>
      </c>
      <c r="BA115" s="12" t="str">
        <f>IF(検体毎項目情報!I116="","",検体毎項目情報!I116)</f>
        <v/>
      </c>
      <c r="BB115" s="12" t="str">
        <f>IF(検体毎項目情報!J116="","",検体毎項目情報!J116)</f>
        <v/>
      </c>
      <c r="BC115" s="12" t="str">
        <f>IF(検体毎項目情報!K116="","",検体毎項目情報!K116)</f>
        <v/>
      </c>
      <c r="BD115" s="12" t="str">
        <f>IF(検体毎項目情報!L116="","",検体毎項目情報!L116)</f>
        <v/>
      </c>
      <c r="BE115" s="12" t="str">
        <f>IF(検体毎項目情報!M116="","",検体毎項目情報!M116)</f>
        <v/>
      </c>
      <c r="BF115" s="12" t="str">
        <f>IF(検体毎項目情報!N116="","",検体毎項目情報!N116)</f>
        <v/>
      </c>
      <c r="BG115" s="12" t="str">
        <f>IF(検体毎項目情報!O116="","",検体毎項目情報!O116)</f>
        <v/>
      </c>
      <c r="BH115" s="12" t="str">
        <f>IF(検体毎項目情報!P116="","",検体毎項目情報!P116)</f>
        <v/>
      </c>
      <c r="BI115" s="12" t="str">
        <f>IF(検体毎項目情報!Q116="","",検体毎項目情報!Q116)</f>
        <v/>
      </c>
      <c r="BJ115" s="12" t="str">
        <f>IF(検体毎項目情報!R116="","",検体毎項目情報!R116)</f>
        <v/>
      </c>
      <c r="BK115" s="12" t="str">
        <f>IF(検体毎項目情報!S116="","",検体毎項目情報!S116)</f>
        <v/>
      </c>
      <c r="BL115" s="12" t="str">
        <f>IF(検体毎項目情報!T116="","",検体毎項目情報!T116)</f>
        <v/>
      </c>
      <c r="BM115" s="12" t="str">
        <f>IF(検体毎項目情報!U116="","",検体毎項目情報!U116)</f>
        <v/>
      </c>
      <c r="BN115" s="12" t="str">
        <f>IF(検体毎項目情報!V116="","",検体毎項目情報!V116)</f>
        <v/>
      </c>
      <c r="BO115" s="12" t="str">
        <f>IF(検体毎項目情報!W116="","",検体毎項目情報!W116)</f>
        <v/>
      </c>
      <c r="BP115" s="12" t="str">
        <f>IF(検体毎項目情報!X116="","",検体毎項目情報!X116)</f>
        <v/>
      </c>
    </row>
    <row r="116" spans="44:68">
      <c r="AR116" s="32" t="str">
        <f>IF(AS116="","",COUNTIF(費用項目一覧!A:A,判定詳細!AU116))</f>
        <v/>
      </c>
      <c r="AS116" s="12" t="str">
        <f>IF(検体毎項目情報!A117="","",検体毎項目情報!A117)</f>
        <v/>
      </c>
      <c r="AT116" s="12" t="str">
        <f>IF(検体毎項目情報!B117="","",検体毎項目情報!B117)</f>
        <v/>
      </c>
      <c r="AU116" s="12" t="str">
        <f>IF(検体毎項目情報!C117="","",検体毎項目情報!C117)</f>
        <v/>
      </c>
      <c r="AV116" s="12" t="str">
        <f>IF(検体毎項目情報!D117="","",検体毎項目情報!D117)</f>
        <v/>
      </c>
      <c r="AW116" s="12" t="str">
        <f>IF(検体毎項目情報!E117="","",検体毎項目情報!E117)</f>
        <v/>
      </c>
      <c r="AX116" s="12" t="str">
        <f>IF(検体毎項目情報!F117="","",検体毎項目情報!F117)</f>
        <v/>
      </c>
      <c r="AY116" s="12" t="str">
        <f>IF(検体毎項目情報!G117="","",検体毎項目情報!G117)</f>
        <v/>
      </c>
      <c r="AZ116" s="12" t="str">
        <f>IF(検体毎項目情報!H117="","",検体毎項目情報!H117)</f>
        <v/>
      </c>
      <c r="BA116" s="12" t="str">
        <f>IF(検体毎項目情報!I117="","",検体毎項目情報!I117)</f>
        <v/>
      </c>
      <c r="BB116" s="12" t="str">
        <f>IF(検体毎項目情報!J117="","",検体毎項目情報!J117)</f>
        <v/>
      </c>
      <c r="BC116" s="12" t="str">
        <f>IF(検体毎項目情報!K117="","",検体毎項目情報!K117)</f>
        <v/>
      </c>
      <c r="BD116" s="12" t="str">
        <f>IF(検体毎項目情報!L117="","",検体毎項目情報!L117)</f>
        <v/>
      </c>
      <c r="BE116" s="12" t="str">
        <f>IF(検体毎項目情報!M117="","",検体毎項目情報!M117)</f>
        <v/>
      </c>
      <c r="BF116" s="12" t="str">
        <f>IF(検体毎項目情報!N117="","",検体毎項目情報!N117)</f>
        <v/>
      </c>
      <c r="BG116" s="12" t="str">
        <f>IF(検体毎項目情報!O117="","",検体毎項目情報!O117)</f>
        <v/>
      </c>
      <c r="BH116" s="12" t="str">
        <f>IF(検体毎項目情報!P117="","",検体毎項目情報!P117)</f>
        <v/>
      </c>
      <c r="BI116" s="12" t="str">
        <f>IF(検体毎項目情報!Q117="","",検体毎項目情報!Q117)</f>
        <v/>
      </c>
      <c r="BJ116" s="12" t="str">
        <f>IF(検体毎項目情報!R117="","",検体毎項目情報!R117)</f>
        <v/>
      </c>
      <c r="BK116" s="12" t="str">
        <f>IF(検体毎項目情報!S117="","",検体毎項目情報!S117)</f>
        <v/>
      </c>
      <c r="BL116" s="12" t="str">
        <f>IF(検体毎項目情報!T117="","",検体毎項目情報!T117)</f>
        <v/>
      </c>
      <c r="BM116" s="12" t="str">
        <f>IF(検体毎項目情報!U117="","",検体毎項目情報!U117)</f>
        <v/>
      </c>
      <c r="BN116" s="12" t="str">
        <f>IF(検体毎項目情報!V117="","",検体毎項目情報!V117)</f>
        <v/>
      </c>
      <c r="BO116" s="12" t="str">
        <f>IF(検体毎項目情報!W117="","",検体毎項目情報!W117)</f>
        <v/>
      </c>
      <c r="BP116" s="12" t="str">
        <f>IF(検体毎項目情報!X117="","",検体毎項目情報!X117)</f>
        <v/>
      </c>
    </row>
    <row r="117" spans="44:68">
      <c r="AR117" s="32" t="str">
        <f>IF(AS117="","",COUNTIF(費用項目一覧!A:A,判定詳細!AU117))</f>
        <v/>
      </c>
      <c r="AS117" s="12" t="str">
        <f>IF(検体毎項目情報!A118="","",検体毎項目情報!A118)</f>
        <v/>
      </c>
      <c r="AT117" s="12" t="str">
        <f>IF(検体毎項目情報!B118="","",検体毎項目情報!B118)</f>
        <v/>
      </c>
      <c r="AU117" s="12" t="str">
        <f>IF(検体毎項目情報!C118="","",検体毎項目情報!C118)</f>
        <v/>
      </c>
      <c r="AV117" s="12" t="str">
        <f>IF(検体毎項目情報!D118="","",検体毎項目情報!D118)</f>
        <v/>
      </c>
      <c r="AW117" s="12" t="str">
        <f>IF(検体毎項目情報!E118="","",検体毎項目情報!E118)</f>
        <v/>
      </c>
      <c r="AX117" s="12" t="str">
        <f>IF(検体毎項目情報!F118="","",検体毎項目情報!F118)</f>
        <v/>
      </c>
      <c r="AY117" s="12" t="str">
        <f>IF(検体毎項目情報!G118="","",検体毎項目情報!G118)</f>
        <v/>
      </c>
      <c r="AZ117" s="12" t="str">
        <f>IF(検体毎項目情報!H118="","",検体毎項目情報!H118)</f>
        <v/>
      </c>
      <c r="BA117" s="12" t="str">
        <f>IF(検体毎項目情報!I118="","",検体毎項目情報!I118)</f>
        <v/>
      </c>
      <c r="BB117" s="12" t="str">
        <f>IF(検体毎項目情報!J118="","",検体毎項目情報!J118)</f>
        <v/>
      </c>
      <c r="BC117" s="12" t="str">
        <f>IF(検体毎項目情報!K118="","",検体毎項目情報!K118)</f>
        <v/>
      </c>
      <c r="BD117" s="12" t="str">
        <f>IF(検体毎項目情報!L118="","",検体毎項目情報!L118)</f>
        <v/>
      </c>
      <c r="BE117" s="12" t="str">
        <f>IF(検体毎項目情報!M118="","",検体毎項目情報!M118)</f>
        <v/>
      </c>
      <c r="BF117" s="12" t="str">
        <f>IF(検体毎項目情報!N118="","",検体毎項目情報!N118)</f>
        <v/>
      </c>
      <c r="BG117" s="12" t="str">
        <f>IF(検体毎項目情報!O118="","",検体毎項目情報!O118)</f>
        <v/>
      </c>
      <c r="BH117" s="12" t="str">
        <f>IF(検体毎項目情報!P118="","",検体毎項目情報!P118)</f>
        <v/>
      </c>
      <c r="BI117" s="12" t="str">
        <f>IF(検体毎項目情報!Q118="","",検体毎項目情報!Q118)</f>
        <v/>
      </c>
      <c r="BJ117" s="12" t="str">
        <f>IF(検体毎項目情報!R118="","",検体毎項目情報!R118)</f>
        <v/>
      </c>
      <c r="BK117" s="12" t="str">
        <f>IF(検体毎項目情報!S118="","",検体毎項目情報!S118)</f>
        <v/>
      </c>
      <c r="BL117" s="12" t="str">
        <f>IF(検体毎項目情報!T118="","",検体毎項目情報!T118)</f>
        <v/>
      </c>
      <c r="BM117" s="12" t="str">
        <f>IF(検体毎項目情報!U118="","",検体毎項目情報!U118)</f>
        <v/>
      </c>
      <c r="BN117" s="12" t="str">
        <f>IF(検体毎項目情報!V118="","",検体毎項目情報!V118)</f>
        <v/>
      </c>
      <c r="BO117" s="12" t="str">
        <f>IF(検体毎項目情報!W118="","",検体毎項目情報!W118)</f>
        <v/>
      </c>
      <c r="BP117" s="12" t="str">
        <f>IF(検体毎項目情報!X118="","",検体毎項目情報!X118)</f>
        <v/>
      </c>
    </row>
    <row r="118" spans="44:68">
      <c r="AR118" s="32" t="str">
        <f>IF(AS118="","",COUNTIF(費用項目一覧!A:A,判定詳細!AU118))</f>
        <v/>
      </c>
      <c r="AS118" s="12" t="str">
        <f>IF(検体毎項目情報!A119="","",検体毎項目情報!A119)</f>
        <v/>
      </c>
      <c r="AT118" s="12" t="str">
        <f>IF(検体毎項目情報!B119="","",検体毎項目情報!B119)</f>
        <v/>
      </c>
      <c r="AU118" s="12" t="str">
        <f>IF(検体毎項目情報!C119="","",検体毎項目情報!C119)</f>
        <v/>
      </c>
      <c r="AV118" s="12" t="str">
        <f>IF(検体毎項目情報!D119="","",検体毎項目情報!D119)</f>
        <v/>
      </c>
      <c r="AW118" s="12" t="str">
        <f>IF(検体毎項目情報!E119="","",検体毎項目情報!E119)</f>
        <v/>
      </c>
      <c r="AX118" s="12" t="str">
        <f>IF(検体毎項目情報!F119="","",検体毎項目情報!F119)</f>
        <v/>
      </c>
      <c r="AY118" s="12" t="str">
        <f>IF(検体毎項目情報!G119="","",検体毎項目情報!G119)</f>
        <v/>
      </c>
      <c r="AZ118" s="12" t="str">
        <f>IF(検体毎項目情報!H119="","",検体毎項目情報!H119)</f>
        <v/>
      </c>
      <c r="BA118" s="12" t="str">
        <f>IF(検体毎項目情報!I119="","",検体毎項目情報!I119)</f>
        <v/>
      </c>
      <c r="BB118" s="12" t="str">
        <f>IF(検体毎項目情報!J119="","",検体毎項目情報!J119)</f>
        <v/>
      </c>
      <c r="BC118" s="12" t="str">
        <f>IF(検体毎項目情報!K119="","",検体毎項目情報!K119)</f>
        <v/>
      </c>
      <c r="BD118" s="12" t="str">
        <f>IF(検体毎項目情報!L119="","",検体毎項目情報!L119)</f>
        <v/>
      </c>
      <c r="BE118" s="12" t="str">
        <f>IF(検体毎項目情報!M119="","",検体毎項目情報!M119)</f>
        <v/>
      </c>
      <c r="BF118" s="12" t="str">
        <f>IF(検体毎項目情報!N119="","",検体毎項目情報!N119)</f>
        <v/>
      </c>
      <c r="BG118" s="12" t="str">
        <f>IF(検体毎項目情報!O119="","",検体毎項目情報!O119)</f>
        <v/>
      </c>
      <c r="BH118" s="12" t="str">
        <f>IF(検体毎項目情報!P119="","",検体毎項目情報!P119)</f>
        <v/>
      </c>
      <c r="BI118" s="12" t="str">
        <f>IF(検体毎項目情報!Q119="","",検体毎項目情報!Q119)</f>
        <v/>
      </c>
      <c r="BJ118" s="12" t="str">
        <f>IF(検体毎項目情報!R119="","",検体毎項目情報!R119)</f>
        <v/>
      </c>
      <c r="BK118" s="12" t="str">
        <f>IF(検体毎項目情報!S119="","",検体毎項目情報!S119)</f>
        <v/>
      </c>
      <c r="BL118" s="12" t="str">
        <f>IF(検体毎項目情報!T119="","",検体毎項目情報!T119)</f>
        <v/>
      </c>
      <c r="BM118" s="12" t="str">
        <f>IF(検体毎項目情報!U119="","",検体毎項目情報!U119)</f>
        <v/>
      </c>
      <c r="BN118" s="12" t="str">
        <f>IF(検体毎項目情報!V119="","",検体毎項目情報!V119)</f>
        <v/>
      </c>
      <c r="BO118" s="12" t="str">
        <f>IF(検体毎項目情報!W119="","",検体毎項目情報!W119)</f>
        <v/>
      </c>
      <c r="BP118" s="12" t="str">
        <f>IF(検体毎項目情報!X119="","",検体毎項目情報!X119)</f>
        <v/>
      </c>
    </row>
    <row r="119" spans="44:68">
      <c r="AR119" s="32" t="str">
        <f>IF(AS119="","",COUNTIF(費用項目一覧!A:A,判定詳細!AU119))</f>
        <v/>
      </c>
      <c r="AS119" s="12" t="str">
        <f>IF(検体毎項目情報!A120="","",検体毎項目情報!A120)</f>
        <v/>
      </c>
      <c r="AT119" s="12" t="str">
        <f>IF(検体毎項目情報!B120="","",検体毎項目情報!B120)</f>
        <v/>
      </c>
      <c r="AU119" s="12" t="str">
        <f>IF(検体毎項目情報!C120="","",検体毎項目情報!C120)</f>
        <v/>
      </c>
      <c r="AV119" s="12" t="str">
        <f>IF(検体毎項目情報!D120="","",検体毎項目情報!D120)</f>
        <v/>
      </c>
      <c r="AW119" s="12" t="str">
        <f>IF(検体毎項目情報!E120="","",検体毎項目情報!E120)</f>
        <v/>
      </c>
      <c r="AX119" s="12" t="str">
        <f>IF(検体毎項目情報!F120="","",検体毎項目情報!F120)</f>
        <v/>
      </c>
      <c r="AY119" s="12" t="str">
        <f>IF(検体毎項目情報!G120="","",検体毎項目情報!G120)</f>
        <v/>
      </c>
      <c r="AZ119" s="12" t="str">
        <f>IF(検体毎項目情報!H120="","",検体毎項目情報!H120)</f>
        <v/>
      </c>
      <c r="BA119" s="12" t="str">
        <f>IF(検体毎項目情報!I120="","",検体毎項目情報!I120)</f>
        <v/>
      </c>
      <c r="BB119" s="12" t="str">
        <f>IF(検体毎項目情報!J120="","",検体毎項目情報!J120)</f>
        <v/>
      </c>
      <c r="BC119" s="12" t="str">
        <f>IF(検体毎項目情報!K120="","",検体毎項目情報!K120)</f>
        <v/>
      </c>
      <c r="BD119" s="12" t="str">
        <f>IF(検体毎項目情報!L120="","",検体毎項目情報!L120)</f>
        <v/>
      </c>
      <c r="BE119" s="12" t="str">
        <f>IF(検体毎項目情報!M120="","",検体毎項目情報!M120)</f>
        <v/>
      </c>
      <c r="BF119" s="12" t="str">
        <f>IF(検体毎項目情報!N120="","",検体毎項目情報!N120)</f>
        <v/>
      </c>
      <c r="BG119" s="12" t="str">
        <f>IF(検体毎項目情報!O120="","",検体毎項目情報!O120)</f>
        <v/>
      </c>
      <c r="BH119" s="12" t="str">
        <f>IF(検体毎項目情報!P120="","",検体毎項目情報!P120)</f>
        <v/>
      </c>
      <c r="BI119" s="12" t="str">
        <f>IF(検体毎項目情報!Q120="","",検体毎項目情報!Q120)</f>
        <v/>
      </c>
      <c r="BJ119" s="12" t="str">
        <f>IF(検体毎項目情報!R120="","",検体毎項目情報!R120)</f>
        <v/>
      </c>
      <c r="BK119" s="12" t="str">
        <f>IF(検体毎項目情報!S120="","",検体毎項目情報!S120)</f>
        <v/>
      </c>
      <c r="BL119" s="12" t="str">
        <f>IF(検体毎項目情報!T120="","",検体毎項目情報!T120)</f>
        <v/>
      </c>
      <c r="BM119" s="12" t="str">
        <f>IF(検体毎項目情報!U120="","",検体毎項目情報!U120)</f>
        <v/>
      </c>
      <c r="BN119" s="12" t="str">
        <f>IF(検体毎項目情報!V120="","",検体毎項目情報!V120)</f>
        <v/>
      </c>
      <c r="BO119" s="12" t="str">
        <f>IF(検体毎項目情報!W120="","",検体毎項目情報!W120)</f>
        <v/>
      </c>
      <c r="BP119" s="12" t="str">
        <f>IF(検体毎項目情報!X120="","",検体毎項目情報!X120)</f>
        <v/>
      </c>
    </row>
    <row r="120" spans="44:68">
      <c r="AR120" s="32" t="str">
        <f>IF(AS120="","",COUNTIF(費用項目一覧!A:A,判定詳細!AU120))</f>
        <v/>
      </c>
      <c r="AS120" s="12" t="str">
        <f>IF(検体毎項目情報!A121="","",検体毎項目情報!A121)</f>
        <v/>
      </c>
      <c r="AT120" s="12" t="str">
        <f>IF(検体毎項目情報!B121="","",検体毎項目情報!B121)</f>
        <v/>
      </c>
      <c r="AU120" s="12" t="str">
        <f>IF(検体毎項目情報!C121="","",検体毎項目情報!C121)</f>
        <v/>
      </c>
      <c r="AV120" s="12" t="str">
        <f>IF(検体毎項目情報!D121="","",検体毎項目情報!D121)</f>
        <v/>
      </c>
      <c r="AW120" s="12" t="str">
        <f>IF(検体毎項目情報!E121="","",検体毎項目情報!E121)</f>
        <v/>
      </c>
      <c r="AX120" s="12" t="str">
        <f>IF(検体毎項目情報!F121="","",検体毎項目情報!F121)</f>
        <v/>
      </c>
      <c r="AY120" s="12" t="str">
        <f>IF(検体毎項目情報!G121="","",検体毎項目情報!G121)</f>
        <v/>
      </c>
      <c r="AZ120" s="12" t="str">
        <f>IF(検体毎項目情報!H121="","",検体毎項目情報!H121)</f>
        <v/>
      </c>
      <c r="BA120" s="12" t="str">
        <f>IF(検体毎項目情報!I121="","",検体毎項目情報!I121)</f>
        <v/>
      </c>
      <c r="BB120" s="12" t="str">
        <f>IF(検体毎項目情報!J121="","",検体毎項目情報!J121)</f>
        <v/>
      </c>
      <c r="BC120" s="12" t="str">
        <f>IF(検体毎項目情報!K121="","",検体毎項目情報!K121)</f>
        <v/>
      </c>
      <c r="BD120" s="12" t="str">
        <f>IF(検体毎項目情報!L121="","",検体毎項目情報!L121)</f>
        <v/>
      </c>
      <c r="BE120" s="12" t="str">
        <f>IF(検体毎項目情報!M121="","",検体毎項目情報!M121)</f>
        <v/>
      </c>
      <c r="BF120" s="12" t="str">
        <f>IF(検体毎項目情報!N121="","",検体毎項目情報!N121)</f>
        <v/>
      </c>
      <c r="BG120" s="12" t="str">
        <f>IF(検体毎項目情報!O121="","",検体毎項目情報!O121)</f>
        <v/>
      </c>
      <c r="BH120" s="12" t="str">
        <f>IF(検体毎項目情報!P121="","",検体毎項目情報!P121)</f>
        <v/>
      </c>
      <c r="BI120" s="12" t="str">
        <f>IF(検体毎項目情報!Q121="","",検体毎項目情報!Q121)</f>
        <v/>
      </c>
      <c r="BJ120" s="12" t="str">
        <f>IF(検体毎項目情報!R121="","",検体毎項目情報!R121)</f>
        <v/>
      </c>
      <c r="BK120" s="12" t="str">
        <f>IF(検体毎項目情報!S121="","",検体毎項目情報!S121)</f>
        <v/>
      </c>
      <c r="BL120" s="12" t="str">
        <f>IF(検体毎項目情報!T121="","",検体毎項目情報!T121)</f>
        <v/>
      </c>
      <c r="BM120" s="12" t="str">
        <f>IF(検体毎項目情報!U121="","",検体毎項目情報!U121)</f>
        <v/>
      </c>
      <c r="BN120" s="12" t="str">
        <f>IF(検体毎項目情報!V121="","",検体毎項目情報!V121)</f>
        <v/>
      </c>
      <c r="BO120" s="12" t="str">
        <f>IF(検体毎項目情報!W121="","",検体毎項目情報!W121)</f>
        <v/>
      </c>
      <c r="BP120" s="12" t="str">
        <f>IF(検体毎項目情報!X121="","",検体毎項目情報!X121)</f>
        <v/>
      </c>
    </row>
    <row r="121" spans="44:68">
      <c r="AR121" s="32" t="str">
        <f>IF(AS121="","",COUNTIF(費用項目一覧!A:A,判定詳細!AU121))</f>
        <v/>
      </c>
      <c r="AS121" s="12" t="str">
        <f>IF(検体毎項目情報!A122="","",検体毎項目情報!A122)</f>
        <v/>
      </c>
      <c r="AT121" s="12" t="str">
        <f>IF(検体毎項目情報!B122="","",検体毎項目情報!B122)</f>
        <v/>
      </c>
      <c r="AU121" s="12" t="str">
        <f>IF(検体毎項目情報!C122="","",検体毎項目情報!C122)</f>
        <v/>
      </c>
      <c r="AV121" s="12" t="str">
        <f>IF(検体毎項目情報!D122="","",検体毎項目情報!D122)</f>
        <v/>
      </c>
      <c r="AW121" s="12" t="str">
        <f>IF(検体毎項目情報!E122="","",検体毎項目情報!E122)</f>
        <v/>
      </c>
      <c r="AX121" s="12" t="str">
        <f>IF(検体毎項目情報!F122="","",検体毎項目情報!F122)</f>
        <v/>
      </c>
      <c r="AY121" s="12" t="str">
        <f>IF(検体毎項目情報!G122="","",検体毎項目情報!G122)</f>
        <v/>
      </c>
      <c r="AZ121" s="12" t="str">
        <f>IF(検体毎項目情報!H122="","",検体毎項目情報!H122)</f>
        <v/>
      </c>
      <c r="BA121" s="12" t="str">
        <f>IF(検体毎項目情報!I122="","",検体毎項目情報!I122)</f>
        <v/>
      </c>
      <c r="BB121" s="12" t="str">
        <f>IF(検体毎項目情報!J122="","",検体毎項目情報!J122)</f>
        <v/>
      </c>
      <c r="BC121" s="12" t="str">
        <f>IF(検体毎項目情報!K122="","",検体毎項目情報!K122)</f>
        <v/>
      </c>
      <c r="BD121" s="12" t="str">
        <f>IF(検体毎項目情報!L122="","",検体毎項目情報!L122)</f>
        <v/>
      </c>
      <c r="BE121" s="12" t="str">
        <f>IF(検体毎項目情報!M122="","",検体毎項目情報!M122)</f>
        <v/>
      </c>
      <c r="BF121" s="12" t="str">
        <f>IF(検体毎項目情報!N122="","",検体毎項目情報!N122)</f>
        <v/>
      </c>
      <c r="BG121" s="12" t="str">
        <f>IF(検体毎項目情報!O122="","",検体毎項目情報!O122)</f>
        <v/>
      </c>
      <c r="BH121" s="12" t="str">
        <f>IF(検体毎項目情報!P122="","",検体毎項目情報!P122)</f>
        <v/>
      </c>
      <c r="BI121" s="12" t="str">
        <f>IF(検体毎項目情報!Q122="","",検体毎項目情報!Q122)</f>
        <v/>
      </c>
      <c r="BJ121" s="12" t="str">
        <f>IF(検体毎項目情報!R122="","",検体毎項目情報!R122)</f>
        <v/>
      </c>
      <c r="BK121" s="12" t="str">
        <f>IF(検体毎項目情報!S122="","",検体毎項目情報!S122)</f>
        <v/>
      </c>
      <c r="BL121" s="12" t="str">
        <f>IF(検体毎項目情報!T122="","",検体毎項目情報!T122)</f>
        <v/>
      </c>
      <c r="BM121" s="12" t="str">
        <f>IF(検体毎項目情報!U122="","",検体毎項目情報!U122)</f>
        <v/>
      </c>
      <c r="BN121" s="12" t="str">
        <f>IF(検体毎項目情報!V122="","",検体毎項目情報!V122)</f>
        <v/>
      </c>
      <c r="BO121" s="12" t="str">
        <f>IF(検体毎項目情報!W122="","",検体毎項目情報!W122)</f>
        <v/>
      </c>
      <c r="BP121" s="12" t="str">
        <f>IF(検体毎項目情報!X122="","",検体毎項目情報!X122)</f>
        <v/>
      </c>
    </row>
    <row r="122" spans="44:68">
      <c r="AR122" s="32" t="str">
        <f>IF(AS122="","",COUNTIF(費用項目一覧!A:A,判定詳細!AU122))</f>
        <v/>
      </c>
      <c r="AS122" s="12" t="str">
        <f>IF(検体毎項目情報!A123="","",検体毎項目情報!A123)</f>
        <v/>
      </c>
      <c r="AT122" s="12" t="str">
        <f>IF(検体毎項目情報!B123="","",検体毎項目情報!B123)</f>
        <v/>
      </c>
      <c r="AU122" s="12" t="str">
        <f>IF(検体毎項目情報!C123="","",検体毎項目情報!C123)</f>
        <v/>
      </c>
      <c r="AV122" s="12" t="str">
        <f>IF(検体毎項目情報!D123="","",検体毎項目情報!D123)</f>
        <v/>
      </c>
      <c r="AW122" s="12" t="str">
        <f>IF(検体毎項目情報!E123="","",検体毎項目情報!E123)</f>
        <v/>
      </c>
      <c r="AX122" s="12" t="str">
        <f>IF(検体毎項目情報!F123="","",検体毎項目情報!F123)</f>
        <v/>
      </c>
      <c r="AY122" s="12" t="str">
        <f>IF(検体毎項目情報!G123="","",検体毎項目情報!G123)</f>
        <v/>
      </c>
      <c r="AZ122" s="12" t="str">
        <f>IF(検体毎項目情報!H123="","",検体毎項目情報!H123)</f>
        <v/>
      </c>
      <c r="BA122" s="12" t="str">
        <f>IF(検体毎項目情報!I123="","",検体毎項目情報!I123)</f>
        <v/>
      </c>
      <c r="BB122" s="12" t="str">
        <f>IF(検体毎項目情報!J123="","",検体毎項目情報!J123)</f>
        <v/>
      </c>
      <c r="BC122" s="12" t="str">
        <f>IF(検体毎項目情報!K123="","",検体毎項目情報!K123)</f>
        <v/>
      </c>
      <c r="BD122" s="12" t="str">
        <f>IF(検体毎項目情報!L123="","",検体毎項目情報!L123)</f>
        <v/>
      </c>
      <c r="BE122" s="12" t="str">
        <f>IF(検体毎項目情報!M123="","",検体毎項目情報!M123)</f>
        <v/>
      </c>
      <c r="BF122" s="12" t="str">
        <f>IF(検体毎項目情報!N123="","",検体毎項目情報!N123)</f>
        <v/>
      </c>
      <c r="BG122" s="12" t="str">
        <f>IF(検体毎項目情報!O123="","",検体毎項目情報!O123)</f>
        <v/>
      </c>
      <c r="BH122" s="12" t="str">
        <f>IF(検体毎項目情報!P123="","",検体毎項目情報!P123)</f>
        <v/>
      </c>
      <c r="BI122" s="12" t="str">
        <f>IF(検体毎項目情報!Q123="","",検体毎項目情報!Q123)</f>
        <v/>
      </c>
      <c r="BJ122" s="12" t="str">
        <f>IF(検体毎項目情報!R123="","",検体毎項目情報!R123)</f>
        <v/>
      </c>
      <c r="BK122" s="12" t="str">
        <f>IF(検体毎項目情報!S123="","",検体毎項目情報!S123)</f>
        <v/>
      </c>
      <c r="BL122" s="12" t="str">
        <f>IF(検体毎項目情報!T123="","",検体毎項目情報!T123)</f>
        <v/>
      </c>
      <c r="BM122" s="12" t="str">
        <f>IF(検体毎項目情報!U123="","",検体毎項目情報!U123)</f>
        <v/>
      </c>
      <c r="BN122" s="12" t="str">
        <f>IF(検体毎項目情報!V123="","",検体毎項目情報!V123)</f>
        <v/>
      </c>
      <c r="BO122" s="12" t="str">
        <f>IF(検体毎項目情報!W123="","",検体毎項目情報!W123)</f>
        <v/>
      </c>
      <c r="BP122" s="12" t="str">
        <f>IF(検体毎項目情報!X123="","",検体毎項目情報!X123)</f>
        <v/>
      </c>
    </row>
    <row r="123" spans="44:68">
      <c r="AR123" s="32" t="str">
        <f>IF(AS123="","",COUNTIF(費用項目一覧!A:A,判定詳細!AU123))</f>
        <v/>
      </c>
      <c r="AS123" s="12" t="str">
        <f>IF(検体毎項目情報!A124="","",検体毎項目情報!A124)</f>
        <v/>
      </c>
      <c r="AT123" s="12" t="str">
        <f>IF(検体毎項目情報!B124="","",検体毎項目情報!B124)</f>
        <v/>
      </c>
      <c r="AU123" s="12" t="str">
        <f>IF(検体毎項目情報!C124="","",検体毎項目情報!C124)</f>
        <v/>
      </c>
      <c r="AV123" s="12" t="str">
        <f>IF(検体毎項目情報!D124="","",検体毎項目情報!D124)</f>
        <v/>
      </c>
      <c r="AW123" s="12" t="str">
        <f>IF(検体毎項目情報!E124="","",検体毎項目情報!E124)</f>
        <v/>
      </c>
      <c r="AX123" s="12" t="str">
        <f>IF(検体毎項目情報!F124="","",検体毎項目情報!F124)</f>
        <v/>
      </c>
      <c r="AY123" s="12" t="str">
        <f>IF(検体毎項目情報!G124="","",検体毎項目情報!G124)</f>
        <v/>
      </c>
      <c r="AZ123" s="12" t="str">
        <f>IF(検体毎項目情報!H124="","",検体毎項目情報!H124)</f>
        <v/>
      </c>
      <c r="BA123" s="12" t="str">
        <f>IF(検体毎項目情報!I124="","",検体毎項目情報!I124)</f>
        <v/>
      </c>
      <c r="BB123" s="12" t="str">
        <f>IF(検体毎項目情報!J124="","",検体毎項目情報!J124)</f>
        <v/>
      </c>
      <c r="BC123" s="12" t="str">
        <f>IF(検体毎項目情報!K124="","",検体毎項目情報!K124)</f>
        <v/>
      </c>
      <c r="BD123" s="12" t="str">
        <f>IF(検体毎項目情報!L124="","",検体毎項目情報!L124)</f>
        <v/>
      </c>
      <c r="BE123" s="12" t="str">
        <f>IF(検体毎項目情報!M124="","",検体毎項目情報!M124)</f>
        <v/>
      </c>
      <c r="BF123" s="12" t="str">
        <f>IF(検体毎項目情報!N124="","",検体毎項目情報!N124)</f>
        <v/>
      </c>
      <c r="BG123" s="12" t="str">
        <f>IF(検体毎項目情報!O124="","",検体毎項目情報!O124)</f>
        <v/>
      </c>
      <c r="BH123" s="12" t="str">
        <f>IF(検体毎項目情報!P124="","",検体毎項目情報!P124)</f>
        <v/>
      </c>
      <c r="BI123" s="12" t="str">
        <f>IF(検体毎項目情報!Q124="","",検体毎項目情報!Q124)</f>
        <v/>
      </c>
      <c r="BJ123" s="12" t="str">
        <f>IF(検体毎項目情報!R124="","",検体毎項目情報!R124)</f>
        <v/>
      </c>
      <c r="BK123" s="12" t="str">
        <f>IF(検体毎項目情報!S124="","",検体毎項目情報!S124)</f>
        <v/>
      </c>
      <c r="BL123" s="12" t="str">
        <f>IF(検体毎項目情報!T124="","",検体毎項目情報!T124)</f>
        <v/>
      </c>
      <c r="BM123" s="12" t="str">
        <f>IF(検体毎項目情報!U124="","",検体毎項目情報!U124)</f>
        <v/>
      </c>
      <c r="BN123" s="12" t="str">
        <f>IF(検体毎項目情報!V124="","",検体毎項目情報!V124)</f>
        <v/>
      </c>
      <c r="BO123" s="12" t="str">
        <f>IF(検体毎項目情報!W124="","",検体毎項目情報!W124)</f>
        <v/>
      </c>
      <c r="BP123" s="12" t="str">
        <f>IF(検体毎項目情報!X124="","",検体毎項目情報!X124)</f>
        <v/>
      </c>
    </row>
    <row r="124" spans="44:68">
      <c r="AR124" s="32" t="str">
        <f>IF(AS124="","",COUNTIF(費用項目一覧!A:A,判定詳細!AU124))</f>
        <v/>
      </c>
      <c r="AS124" s="12" t="str">
        <f>IF(検体毎項目情報!A125="","",検体毎項目情報!A125)</f>
        <v/>
      </c>
      <c r="AT124" s="12" t="str">
        <f>IF(検体毎項目情報!B125="","",検体毎項目情報!B125)</f>
        <v/>
      </c>
      <c r="AU124" s="12" t="str">
        <f>IF(検体毎項目情報!C125="","",検体毎項目情報!C125)</f>
        <v/>
      </c>
      <c r="AV124" s="12" t="str">
        <f>IF(検体毎項目情報!D125="","",検体毎項目情報!D125)</f>
        <v/>
      </c>
      <c r="AW124" s="12" t="str">
        <f>IF(検体毎項目情報!E125="","",検体毎項目情報!E125)</f>
        <v/>
      </c>
      <c r="AX124" s="12" t="str">
        <f>IF(検体毎項目情報!F125="","",検体毎項目情報!F125)</f>
        <v/>
      </c>
      <c r="AY124" s="12" t="str">
        <f>IF(検体毎項目情報!G125="","",検体毎項目情報!G125)</f>
        <v/>
      </c>
      <c r="AZ124" s="12" t="str">
        <f>IF(検体毎項目情報!H125="","",検体毎項目情報!H125)</f>
        <v/>
      </c>
      <c r="BA124" s="12" t="str">
        <f>IF(検体毎項目情報!I125="","",検体毎項目情報!I125)</f>
        <v/>
      </c>
      <c r="BB124" s="12" t="str">
        <f>IF(検体毎項目情報!J125="","",検体毎項目情報!J125)</f>
        <v/>
      </c>
      <c r="BC124" s="12" t="str">
        <f>IF(検体毎項目情報!K125="","",検体毎項目情報!K125)</f>
        <v/>
      </c>
      <c r="BD124" s="12" t="str">
        <f>IF(検体毎項目情報!L125="","",検体毎項目情報!L125)</f>
        <v/>
      </c>
      <c r="BE124" s="12" t="str">
        <f>IF(検体毎項目情報!M125="","",検体毎項目情報!M125)</f>
        <v/>
      </c>
      <c r="BF124" s="12" t="str">
        <f>IF(検体毎項目情報!N125="","",検体毎項目情報!N125)</f>
        <v/>
      </c>
      <c r="BG124" s="12" t="str">
        <f>IF(検体毎項目情報!O125="","",検体毎項目情報!O125)</f>
        <v/>
      </c>
      <c r="BH124" s="12" t="str">
        <f>IF(検体毎項目情報!P125="","",検体毎項目情報!P125)</f>
        <v/>
      </c>
      <c r="BI124" s="12" t="str">
        <f>IF(検体毎項目情報!Q125="","",検体毎項目情報!Q125)</f>
        <v/>
      </c>
      <c r="BJ124" s="12" t="str">
        <f>IF(検体毎項目情報!R125="","",検体毎項目情報!R125)</f>
        <v/>
      </c>
      <c r="BK124" s="12" t="str">
        <f>IF(検体毎項目情報!S125="","",検体毎項目情報!S125)</f>
        <v/>
      </c>
      <c r="BL124" s="12" t="str">
        <f>IF(検体毎項目情報!T125="","",検体毎項目情報!T125)</f>
        <v/>
      </c>
      <c r="BM124" s="12" t="str">
        <f>IF(検体毎項目情報!U125="","",検体毎項目情報!U125)</f>
        <v/>
      </c>
      <c r="BN124" s="12" t="str">
        <f>IF(検体毎項目情報!V125="","",検体毎項目情報!V125)</f>
        <v/>
      </c>
      <c r="BO124" s="12" t="str">
        <f>IF(検体毎項目情報!W125="","",検体毎項目情報!W125)</f>
        <v/>
      </c>
      <c r="BP124" s="12" t="str">
        <f>IF(検体毎項目情報!X125="","",検体毎項目情報!X125)</f>
        <v/>
      </c>
    </row>
    <row r="125" spans="44:68">
      <c r="AR125" s="32" t="str">
        <f>IF(AS125="","",COUNTIF(費用項目一覧!A:A,判定詳細!AU125))</f>
        <v/>
      </c>
      <c r="AS125" s="12" t="str">
        <f>IF(検体毎項目情報!A126="","",検体毎項目情報!A126)</f>
        <v/>
      </c>
      <c r="AT125" s="12" t="str">
        <f>IF(検体毎項目情報!B126="","",検体毎項目情報!B126)</f>
        <v/>
      </c>
      <c r="AU125" s="12" t="str">
        <f>IF(検体毎項目情報!C126="","",検体毎項目情報!C126)</f>
        <v/>
      </c>
      <c r="AV125" s="12" t="str">
        <f>IF(検体毎項目情報!D126="","",検体毎項目情報!D126)</f>
        <v/>
      </c>
      <c r="AW125" s="12" t="str">
        <f>IF(検体毎項目情報!E126="","",検体毎項目情報!E126)</f>
        <v/>
      </c>
      <c r="AX125" s="12" t="str">
        <f>IF(検体毎項目情報!F126="","",検体毎項目情報!F126)</f>
        <v/>
      </c>
      <c r="AY125" s="12" t="str">
        <f>IF(検体毎項目情報!G126="","",検体毎項目情報!G126)</f>
        <v/>
      </c>
      <c r="AZ125" s="12" t="str">
        <f>IF(検体毎項目情報!H126="","",検体毎項目情報!H126)</f>
        <v/>
      </c>
      <c r="BA125" s="12" t="str">
        <f>IF(検体毎項目情報!I126="","",検体毎項目情報!I126)</f>
        <v/>
      </c>
      <c r="BB125" s="12" t="str">
        <f>IF(検体毎項目情報!J126="","",検体毎項目情報!J126)</f>
        <v/>
      </c>
      <c r="BC125" s="12" t="str">
        <f>IF(検体毎項目情報!K126="","",検体毎項目情報!K126)</f>
        <v/>
      </c>
      <c r="BD125" s="12" t="str">
        <f>IF(検体毎項目情報!L126="","",検体毎項目情報!L126)</f>
        <v/>
      </c>
      <c r="BE125" s="12" t="str">
        <f>IF(検体毎項目情報!M126="","",検体毎項目情報!M126)</f>
        <v/>
      </c>
      <c r="BF125" s="12" t="str">
        <f>IF(検体毎項目情報!N126="","",検体毎項目情報!N126)</f>
        <v/>
      </c>
      <c r="BG125" s="12" t="str">
        <f>IF(検体毎項目情報!O126="","",検体毎項目情報!O126)</f>
        <v/>
      </c>
      <c r="BH125" s="12" t="str">
        <f>IF(検体毎項目情報!P126="","",検体毎項目情報!P126)</f>
        <v/>
      </c>
      <c r="BI125" s="12" t="str">
        <f>IF(検体毎項目情報!Q126="","",検体毎項目情報!Q126)</f>
        <v/>
      </c>
      <c r="BJ125" s="12" t="str">
        <f>IF(検体毎項目情報!R126="","",検体毎項目情報!R126)</f>
        <v/>
      </c>
      <c r="BK125" s="12" t="str">
        <f>IF(検体毎項目情報!S126="","",検体毎項目情報!S126)</f>
        <v/>
      </c>
      <c r="BL125" s="12" t="str">
        <f>IF(検体毎項目情報!T126="","",検体毎項目情報!T126)</f>
        <v/>
      </c>
      <c r="BM125" s="12" t="str">
        <f>IF(検体毎項目情報!U126="","",検体毎項目情報!U126)</f>
        <v/>
      </c>
      <c r="BN125" s="12" t="str">
        <f>IF(検体毎項目情報!V126="","",検体毎項目情報!V126)</f>
        <v/>
      </c>
      <c r="BO125" s="12" t="str">
        <f>IF(検体毎項目情報!W126="","",検体毎項目情報!W126)</f>
        <v/>
      </c>
      <c r="BP125" s="12" t="str">
        <f>IF(検体毎項目情報!X126="","",検体毎項目情報!X126)</f>
        <v/>
      </c>
    </row>
    <row r="126" spans="44:68">
      <c r="AR126" s="32" t="str">
        <f>IF(AS126="","",COUNTIF(費用項目一覧!A:A,判定詳細!AU126))</f>
        <v/>
      </c>
      <c r="AS126" s="12" t="str">
        <f>IF(検体毎項目情報!A127="","",検体毎項目情報!A127)</f>
        <v/>
      </c>
      <c r="AT126" s="12" t="str">
        <f>IF(検体毎項目情報!B127="","",検体毎項目情報!B127)</f>
        <v/>
      </c>
      <c r="AU126" s="12" t="str">
        <f>IF(検体毎項目情報!C127="","",検体毎項目情報!C127)</f>
        <v/>
      </c>
      <c r="AV126" s="12" t="str">
        <f>IF(検体毎項目情報!D127="","",検体毎項目情報!D127)</f>
        <v/>
      </c>
      <c r="AW126" s="12" t="str">
        <f>IF(検体毎項目情報!E127="","",検体毎項目情報!E127)</f>
        <v/>
      </c>
      <c r="AX126" s="12" t="str">
        <f>IF(検体毎項目情報!F127="","",検体毎項目情報!F127)</f>
        <v/>
      </c>
      <c r="AY126" s="12" t="str">
        <f>IF(検体毎項目情報!G127="","",検体毎項目情報!G127)</f>
        <v/>
      </c>
      <c r="AZ126" s="12" t="str">
        <f>IF(検体毎項目情報!H127="","",検体毎項目情報!H127)</f>
        <v/>
      </c>
      <c r="BA126" s="12" t="str">
        <f>IF(検体毎項目情報!I127="","",検体毎項目情報!I127)</f>
        <v/>
      </c>
      <c r="BB126" s="12" t="str">
        <f>IF(検体毎項目情報!J127="","",検体毎項目情報!J127)</f>
        <v/>
      </c>
      <c r="BC126" s="12" t="str">
        <f>IF(検体毎項目情報!K127="","",検体毎項目情報!K127)</f>
        <v/>
      </c>
      <c r="BD126" s="12" t="str">
        <f>IF(検体毎項目情報!L127="","",検体毎項目情報!L127)</f>
        <v/>
      </c>
      <c r="BE126" s="12" t="str">
        <f>IF(検体毎項目情報!M127="","",検体毎項目情報!M127)</f>
        <v/>
      </c>
      <c r="BF126" s="12" t="str">
        <f>IF(検体毎項目情報!N127="","",検体毎項目情報!N127)</f>
        <v/>
      </c>
      <c r="BG126" s="12" t="str">
        <f>IF(検体毎項目情報!O127="","",検体毎項目情報!O127)</f>
        <v/>
      </c>
      <c r="BH126" s="12" t="str">
        <f>IF(検体毎項目情報!P127="","",検体毎項目情報!P127)</f>
        <v/>
      </c>
      <c r="BI126" s="12" t="str">
        <f>IF(検体毎項目情報!Q127="","",検体毎項目情報!Q127)</f>
        <v/>
      </c>
      <c r="BJ126" s="12" t="str">
        <f>IF(検体毎項目情報!R127="","",検体毎項目情報!R127)</f>
        <v/>
      </c>
      <c r="BK126" s="12" t="str">
        <f>IF(検体毎項目情報!S127="","",検体毎項目情報!S127)</f>
        <v/>
      </c>
      <c r="BL126" s="12" t="str">
        <f>IF(検体毎項目情報!T127="","",検体毎項目情報!T127)</f>
        <v/>
      </c>
      <c r="BM126" s="12" t="str">
        <f>IF(検体毎項目情報!U127="","",検体毎項目情報!U127)</f>
        <v/>
      </c>
      <c r="BN126" s="12" t="str">
        <f>IF(検体毎項目情報!V127="","",検体毎項目情報!V127)</f>
        <v/>
      </c>
      <c r="BO126" s="12" t="str">
        <f>IF(検体毎項目情報!W127="","",検体毎項目情報!W127)</f>
        <v/>
      </c>
      <c r="BP126" s="12" t="str">
        <f>IF(検体毎項目情報!X127="","",検体毎項目情報!X127)</f>
        <v/>
      </c>
    </row>
    <row r="127" spans="44:68">
      <c r="AR127" s="32" t="str">
        <f>IF(AS127="","",COUNTIF(費用項目一覧!A:A,判定詳細!AU127))</f>
        <v/>
      </c>
      <c r="AS127" s="12" t="str">
        <f>IF(検体毎項目情報!A128="","",検体毎項目情報!A128)</f>
        <v/>
      </c>
      <c r="AT127" s="12" t="str">
        <f>IF(検体毎項目情報!B128="","",検体毎項目情報!B128)</f>
        <v/>
      </c>
      <c r="AU127" s="12" t="str">
        <f>IF(検体毎項目情報!C128="","",検体毎項目情報!C128)</f>
        <v/>
      </c>
      <c r="AV127" s="12" t="str">
        <f>IF(検体毎項目情報!D128="","",検体毎項目情報!D128)</f>
        <v/>
      </c>
      <c r="AW127" s="12" t="str">
        <f>IF(検体毎項目情報!E128="","",検体毎項目情報!E128)</f>
        <v/>
      </c>
      <c r="AX127" s="12" t="str">
        <f>IF(検体毎項目情報!F128="","",検体毎項目情報!F128)</f>
        <v/>
      </c>
      <c r="AY127" s="12" t="str">
        <f>IF(検体毎項目情報!G128="","",検体毎項目情報!G128)</f>
        <v/>
      </c>
      <c r="AZ127" s="12" t="str">
        <f>IF(検体毎項目情報!H128="","",検体毎項目情報!H128)</f>
        <v/>
      </c>
      <c r="BA127" s="12" t="str">
        <f>IF(検体毎項目情報!I128="","",検体毎項目情報!I128)</f>
        <v/>
      </c>
      <c r="BB127" s="12" t="str">
        <f>IF(検体毎項目情報!J128="","",検体毎項目情報!J128)</f>
        <v/>
      </c>
      <c r="BC127" s="12" t="str">
        <f>IF(検体毎項目情報!K128="","",検体毎項目情報!K128)</f>
        <v/>
      </c>
      <c r="BD127" s="12" t="str">
        <f>IF(検体毎項目情報!L128="","",検体毎項目情報!L128)</f>
        <v/>
      </c>
      <c r="BE127" s="12" t="str">
        <f>IF(検体毎項目情報!M128="","",検体毎項目情報!M128)</f>
        <v/>
      </c>
      <c r="BF127" s="12" t="str">
        <f>IF(検体毎項目情報!N128="","",検体毎項目情報!N128)</f>
        <v/>
      </c>
      <c r="BG127" s="12" t="str">
        <f>IF(検体毎項目情報!O128="","",検体毎項目情報!O128)</f>
        <v/>
      </c>
      <c r="BH127" s="12" t="str">
        <f>IF(検体毎項目情報!P128="","",検体毎項目情報!P128)</f>
        <v/>
      </c>
      <c r="BI127" s="12" t="str">
        <f>IF(検体毎項目情報!Q128="","",検体毎項目情報!Q128)</f>
        <v/>
      </c>
      <c r="BJ127" s="12" t="str">
        <f>IF(検体毎項目情報!R128="","",検体毎項目情報!R128)</f>
        <v/>
      </c>
      <c r="BK127" s="12" t="str">
        <f>IF(検体毎項目情報!S128="","",検体毎項目情報!S128)</f>
        <v/>
      </c>
      <c r="BL127" s="12" t="str">
        <f>IF(検体毎項目情報!T128="","",検体毎項目情報!T128)</f>
        <v/>
      </c>
      <c r="BM127" s="12" t="str">
        <f>IF(検体毎項目情報!U128="","",検体毎項目情報!U128)</f>
        <v/>
      </c>
      <c r="BN127" s="12" t="str">
        <f>IF(検体毎項目情報!V128="","",検体毎項目情報!V128)</f>
        <v/>
      </c>
      <c r="BO127" s="12" t="str">
        <f>IF(検体毎項目情報!W128="","",検体毎項目情報!W128)</f>
        <v/>
      </c>
      <c r="BP127" s="12" t="str">
        <f>IF(検体毎項目情報!X128="","",検体毎項目情報!X128)</f>
        <v/>
      </c>
    </row>
    <row r="128" spans="44:68">
      <c r="AR128" s="32" t="str">
        <f>IF(AS128="","",COUNTIF(費用項目一覧!A:A,判定詳細!AU128))</f>
        <v/>
      </c>
      <c r="AS128" s="12" t="str">
        <f>IF(検体毎項目情報!A129="","",検体毎項目情報!A129)</f>
        <v/>
      </c>
      <c r="AT128" s="12" t="str">
        <f>IF(検体毎項目情報!B129="","",検体毎項目情報!B129)</f>
        <v/>
      </c>
      <c r="AU128" s="12" t="str">
        <f>IF(検体毎項目情報!C129="","",検体毎項目情報!C129)</f>
        <v/>
      </c>
      <c r="AV128" s="12" t="str">
        <f>IF(検体毎項目情報!D129="","",検体毎項目情報!D129)</f>
        <v/>
      </c>
      <c r="AW128" s="12" t="str">
        <f>IF(検体毎項目情報!E129="","",検体毎項目情報!E129)</f>
        <v/>
      </c>
      <c r="AX128" s="12" t="str">
        <f>IF(検体毎項目情報!F129="","",検体毎項目情報!F129)</f>
        <v/>
      </c>
      <c r="AY128" s="12" t="str">
        <f>IF(検体毎項目情報!G129="","",検体毎項目情報!G129)</f>
        <v/>
      </c>
      <c r="AZ128" s="12" t="str">
        <f>IF(検体毎項目情報!H129="","",検体毎項目情報!H129)</f>
        <v/>
      </c>
      <c r="BA128" s="12" t="str">
        <f>IF(検体毎項目情報!I129="","",検体毎項目情報!I129)</f>
        <v/>
      </c>
      <c r="BB128" s="12" t="str">
        <f>IF(検体毎項目情報!J129="","",検体毎項目情報!J129)</f>
        <v/>
      </c>
      <c r="BC128" s="12" t="str">
        <f>IF(検体毎項目情報!K129="","",検体毎項目情報!K129)</f>
        <v/>
      </c>
      <c r="BD128" s="12" t="str">
        <f>IF(検体毎項目情報!L129="","",検体毎項目情報!L129)</f>
        <v/>
      </c>
      <c r="BE128" s="12" t="str">
        <f>IF(検体毎項目情報!M129="","",検体毎項目情報!M129)</f>
        <v/>
      </c>
      <c r="BF128" s="12" t="str">
        <f>IF(検体毎項目情報!N129="","",検体毎項目情報!N129)</f>
        <v/>
      </c>
      <c r="BG128" s="12" t="str">
        <f>IF(検体毎項目情報!O129="","",検体毎項目情報!O129)</f>
        <v/>
      </c>
      <c r="BH128" s="12" t="str">
        <f>IF(検体毎項目情報!P129="","",検体毎項目情報!P129)</f>
        <v/>
      </c>
      <c r="BI128" s="12" t="str">
        <f>IF(検体毎項目情報!Q129="","",検体毎項目情報!Q129)</f>
        <v/>
      </c>
      <c r="BJ128" s="12" t="str">
        <f>IF(検体毎項目情報!R129="","",検体毎項目情報!R129)</f>
        <v/>
      </c>
      <c r="BK128" s="12" t="str">
        <f>IF(検体毎項目情報!S129="","",検体毎項目情報!S129)</f>
        <v/>
      </c>
      <c r="BL128" s="12" t="str">
        <f>IF(検体毎項目情報!T129="","",検体毎項目情報!T129)</f>
        <v/>
      </c>
      <c r="BM128" s="12" t="str">
        <f>IF(検体毎項目情報!U129="","",検体毎項目情報!U129)</f>
        <v/>
      </c>
      <c r="BN128" s="12" t="str">
        <f>IF(検体毎項目情報!V129="","",検体毎項目情報!V129)</f>
        <v/>
      </c>
      <c r="BO128" s="12" t="str">
        <f>IF(検体毎項目情報!W129="","",検体毎項目情報!W129)</f>
        <v/>
      </c>
      <c r="BP128" s="12" t="str">
        <f>IF(検体毎項目情報!X129="","",検体毎項目情報!X129)</f>
        <v/>
      </c>
    </row>
    <row r="129" spans="44:68">
      <c r="AR129" s="32" t="str">
        <f>IF(AS129="","",COUNTIF(費用項目一覧!A:A,判定詳細!AU129))</f>
        <v/>
      </c>
      <c r="AS129" s="12" t="str">
        <f>IF(検体毎項目情報!A130="","",検体毎項目情報!A130)</f>
        <v/>
      </c>
      <c r="AT129" s="12" t="str">
        <f>IF(検体毎項目情報!B130="","",検体毎項目情報!B130)</f>
        <v/>
      </c>
      <c r="AU129" s="12" t="str">
        <f>IF(検体毎項目情報!C130="","",検体毎項目情報!C130)</f>
        <v/>
      </c>
      <c r="AV129" s="12" t="str">
        <f>IF(検体毎項目情報!D130="","",検体毎項目情報!D130)</f>
        <v/>
      </c>
      <c r="AW129" s="12" t="str">
        <f>IF(検体毎項目情報!E130="","",検体毎項目情報!E130)</f>
        <v/>
      </c>
      <c r="AX129" s="12" t="str">
        <f>IF(検体毎項目情報!F130="","",検体毎項目情報!F130)</f>
        <v/>
      </c>
      <c r="AY129" s="12" t="str">
        <f>IF(検体毎項目情報!G130="","",検体毎項目情報!G130)</f>
        <v/>
      </c>
      <c r="AZ129" s="12" t="str">
        <f>IF(検体毎項目情報!H130="","",検体毎項目情報!H130)</f>
        <v/>
      </c>
      <c r="BA129" s="12" t="str">
        <f>IF(検体毎項目情報!I130="","",検体毎項目情報!I130)</f>
        <v/>
      </c>
      <c r="BB129" s="12" t="str">
        <f>IF(検体毎項目情報!J130="","",検体毎項目情報!J130)</f>
        <v/>
      </c>
      <c r="BC129" s="12" t="str">
        <f>IF(検体毎項目情報!K130="","",検体毎項目情報!K130)</f>
        <v/>
      </c>
      <c r="BD129" s="12" t="str">
        <f>IF(検体毎項目情報!L130="","",検体毎項目情報!L130)</f>
        <v/>
      </c>
      <c r="BE129" s="12" t="str">
        <f>IF(検体毎項目情報!M130="","",検体毎項目情報!M130)</f>
        <v/>
      </c>
      <c r="BF129" s="12" t="str">
        <f>IF(検体毎項目情報!N130="","",検体毎項目情報!N130)</f>
        <v/>
      </c>
      <c r="BG129" s="12" t="str">
        <f>IF(検体毎項目情報!O130="","",検体毎項目情報!O130)</f>
        <v/>
      </c>
      <c r="BH129" s="12" t="str">
        <f>IF(検体毎項目情報!P130="","",検体毎項目情報!P130)</f>
        <v/>
      </c>
      <c r="BI129" s="12" t="str">
        <f>IF(検体毎項目情報!Q130="","",検体毎項目情報!Q130)</f>
        <v/>
      </c>
      <c r="BJ129" s="12" t="str">
        <f>IF(検体毎項目情報!R130="","",検体毎項目情報!R130)</f>
        <v/>
      </c>
      <c r="BK129" s="12" t="str">
        <f>IF(検体毎項目情報!S130="","",検体毎項目情報!S130)</f>
        <v/>
      </c>
      <c r="BL129" s="12" t="str">
        <f>IF(検体毎項目情報!T130="","",検体毎項目情報!T130)</f>
        <v/>
      </c>
      <c r="BM129" s="12" t="str">
        <f>IF(検体毎項目情報!U130="","",検体毎項目情報!U130)</f>
        <v/>
      </c>
      <c r="BN129" s="12" t="str">
        <f>IF(検体毎項目情報!V130="","",検体毎項目情報!V130)</f>
        <v/>
      </c>
      <c r="BO129" s="12" t="str">
        <f>IF(検体毎項目情報!W130="","",検体毎項目情報!W130)</f>
        <v/>
      </c>
      <c r="BP129" s="12" t="str">
        <f>IF(検体毎項目情報!X130="","",検体毎項目情報!X130)</f>
        <v/>
      </c>
    </row>
    <row r="130" spans="44:68">
      <c r="AR130" s="32" t="str">
        <f>IF(AS130="","",COUNTIF(費用項目一覧!A:A,判定詳細!AU130))</f>
        <v/>
      </c>
      <c r="AS130" s="12" t="str">
        <f>IF(検体毎項目情報!A131="","",検体毎項目情報!A131)</f>
        <v/>
      </c>
      <c r="AT130" s="12" t="str">
        <f>IF(検体毎項目情報!B131="","",検体毎項目情報!B131)</f>
        <v/>
      </c>
      <c r="AU130" s="12" t="str">
        <f>IF(検体毎項目情報!C131="","",検体毎項目情報!C131)</f>
        <v/>
      </c>
      <c r="AV130" s="12" t="str">
        <f>IF(検体毎項目情報!D131="","",検体毎項目情報!D131)</f>
        <v/>
      </c>
      <c r="AW130" s="12" t="str">
        <f>IF(検体毎項目情報!E131="","",検体毎項目情報!E131)</f>
        <v/>
      </c>
      <c r="AX130" s="12" t="str">
        <f>IF(検体毎項目情報!F131="","",検体毎項目情報!F131)</f>
        <v/>
      </c>
      <c r="AY130" s="12" t="str">
        <f>IF(検体毎項目情報!G131="","",検体毎項目情報!G131)</f>
        <v/>
      </c>
      <c r="AZ130" s="12" t="str">
        <f>IF(検体毎項目情報!H131="","",検体毎項目情報!H131)</f>
        <v/>
      </c>
      <c r="BA130" s="12" t="str">
        <f>IF(検体毎項目情報!I131="","",検体毎項目情報!I131)</f>
        <v/>
      </c>
      <c r="BB130" s="12" t="str">
        <f>IF(検体毎項目情報!J131="","",検体毎項目情報!J131)</f>
        <v/>
      </c>
      <c r="BC130" s="12" t="str">
        <f>IF(検体毎項目情報!K131="","",検体毎項目情報!K131)</f>
        <v/>
      </c>
      <c r="BD130" s="12" t="str">
        <f>IF(検体毎項目情報!L131="","",検体毎項目情報!L131)</f>
        <v/>
      </c>
      <c r="BE130" s="12" t="str">
        <f>IF(検体毎項目情報!M131="","",検体毎項目情報!M131)</f>
        <v/>
      </c>
      <c r="BF130" s="12" t="str">
        <f>IF(検体毎項目情報!N131="","",検体毎項目情報!N131)</f>
        <v/>
      </c>
      <c r="BG130" s="12" t="str">
        <f>IF(検体毎項目情報!O131="","",検体毎項目情報!O131)</f>
        <v/>
      </c>
      <c r="BH130" s="12" t="str">
        <f>IF(検体毎項目情報!P131="","",検体毎項目情報!P131)</f>
        <v/>
      </c>
      <c r="BI130" s="12" t="str">
        <f>IF(検体毎項目情報!Q131="","",検体毎項目情報!Q131)</f>
        <v/>
      </c>
      <c r="BJ130" s="12" t="str">
        <f>IF(検体毎項目情報!R131="","",検体毎項目情報!R131)</f>
        <v/>
      </c>
      <c r="BK130" s="12" t="str">
        <f>IF(検体毎項目情報!S131="","",検体毎項目情報!S131)</f>
        <v/>
      </c>
      <c r="BL130" s="12" t="str">
        <f>IF(検体毎項目情報!T131="","",検体毎項目情報!T131)</f>
        <v/>
      </c>
      <c r="BM130" s="12" t="str">
        <f>IF(検体毎項目情報!U131="","",検体毎項目情報!U131)</f>
        <v/>
      </c>
      <c r="BN130" s="12" t="str">
        <f>IF(検体毎項目情報!V131="","",検体毎項目情報!V131)</f>
        <v/>
      </c>
      <c r="BO130" s="12" t="str">
        <f>IF(検体毎項目情報!W131="","",検体毎項目情報!W131)</f>
        <v/>
      </c>
      <c r="BP130" s="12" t="str">
        <f>IF(検体毎項目情報!X131="","",検体毎項目情報!X131)</f>
        <v/>
      </c>
    </row>
    <row r="131" spans="44:68">
      <c r="AR131" s="32" t="str">
        <f>IF(AS131="","",COUNTIF(費用項目一覧!A:A,判定詳細!AU131))</f>
        <v/>
      </c>
      <c r="AS131" s="12" t="str">
        <f>IF(検体毎項目情報!A132="","",検体毎項目情報!A132)</f>
        <v/>
      </c>
      <c r="AT131" s="12" t="str">
        <f>IF(検体毎項目情報!B132="","",検体毎項目情報!B132)</f>
        <v/>
      </c>
      <c r="AU131" s="12" t="str">
        <f>IF(検体毎項目情報!C132="","",検体毎項目情報!C132)</f>
        <v/>
      </c>
      <c r="AV131" s="12" t="str">
        <f>IF(検体毎項目情報!D132="","",検体毎項目情報!D132)</f>
        <v/>
      </c>
      <c r="AW131" s="12" t="str">
        <f>IF(検体毎項目情報!E132="","",検体毎項目情報!E132)</f>
        <v/>
      </c>
      <c r="AX131" s="12" t="str">
        <f>IF(検体毎項目情報!F132="","",検体毎項目情報!F132)</f>
        <v/>
      </c>
      <c r="AY131" s="12" t="str">
        <f>IF(検体毎項目情報!G132="","",検体毎項目情報!G132)</f>
        <v/>
      </c>
      <c r="AZ131" s="12" t="str">
        <f>IF(検体毎項目情報!H132="","",検体毎項目情報!H132)</f>
        <v/>
      </c>
      <c r="BA131" s="12" t="str">
        <f>IF(検体毎項目情報!I132="","",検体毎項目情報!I132)</f>
        <v/>
      </c>
      <c r="BB131" s="12" t="str">
        <f>IF(検体毎項目情報!J132="","",検体毎項目情報!J132)</f>
        <v/>
      </c>
      <c r="BC131" s="12" t="str">
        <f>IF(検体毎項目情報!K132="","",検体毎項目情報!K132)</f>
        <v/>
      </c>
      <c r="BD131" s="12" t="str">
        <f>IF(検体毎項目情報!L132="","",検体毎項目情報!L132)</f>
        <v/>
      </c>
      <c r="BE131" s="12" t="str">
        <f>IF(検体毎項目情報!M132="","",検体毎項目情報!M132)</f>
        <v/>
      </c>
      <c r="BF131" s="12" t="str">
        <f>IF(検体毎項目情報!N132="","",検体毎項目情報!N132)</f>
        <v/>
      </c>
      <c r="BG131" s="12" t="str">
        <f>IF(検体毎項目情報!O132="","",検体毎項目情報!O132)</f>
        <v/>
      </c>
      <c r="BH131" s="12" t="str">
        <f>IF(検体毎項目情報!P132="","",検体毎項目情報!P132)</f>
        <v/>
      </c>
      <c r="BI131" s="12" t="str">
        <f>IF(検体毎項目情報!Q132="","",検体毎項目情報!Q132)</f>
        <v/>
      </c>
      <c r="BJ131" s="12" t="str">
        <f>IF(検体毎項目情報!R132="","",検体毎項目情報!R132)</f>
        <v/>
      </c>
      <c r="BK131" s="12" t="str">
        <f>IF(検体毎項目情報!S132="","",検体毎項目情報!S132)</f>
        <v/>
      </c>
      <c r="BL131" s="12" t="str">
        <f>IF(検体毎項目情報!T132="","",検体毎項目情報!T132)</f>
        <v/>
      </c>
      <c r="BM131" s="12" t="str">
        <f>IF(検体毎項目情報!U132="","",検体毎項目情報!U132)</f>
        <v/>
      </c>
      <c r="BN131" s="12" t="str">
        <f>IF(検体毎項目情報!V132="","",検体毎項目情報!V132)</f>
        <v/>
      </c>
      <c r="BO131" s="12" t="str">
        <f>IF(検体毎項目情報!W132="","",検体毎項目情報!W132)</f>
        <v/>
      </c>
      <c r="BP131" s="12" t="str">
        <f>IF(検体毎項目情報!X132="","",検体毎項目情報!X132)</f>
        <v/>
      </c>
    </row>
    <row r="132" spans="44:68">
      <c r="AR132" s="32" t="str">
        <f>IF(AS132="","",COUNTIF(費用項目一覧!A:A,判定詳細!AU132))</f>
        <v/>
      </c>
      <c r="AS132" s="12" t="str">
        <f>IF(検体毎項目情報!A133="","",検体毎項目情報!A133)</f>
        <v/>
      </c>
      <c r="AT132" s="12" t="str">
        <f>IF(検体毎項目情報!B133="","",検体毎項目情報!B133)</f>
        <v/>
      </c>
      <c r="AU132" s="12" t="str">
        <f>IF(検体毎項目情報!C133="","",検体毎項目情報!C133)</f>
        <v/>
      </c>
      <c r="AV132" s="12" t="str">
        <f>IF(検体毎項目情報!D133="","",検体毎項目情報!D133)</f>
        <v/>
      </c>
      <c r="AW132" s="12" t="str">
        <f>IF(検体毎項目情報!E133="","",検体毎項目情報!E133)</f>
        <v/>
      </c>
      <c r="AX132" s="12" t="str">
        <f>IF(検体毎項目情報!F133="","",検体毎項目情報!F133)</f>
        <v/>
      </c>
      <c r="AY132" s="12" t="str">
        <f>IF(検体毎項目情報!G133="","",検体毎項目情報!G133)</f>
        <v/>
      </c>
      <c r="AZ132" s="12" t="str">
        <f>IF(検体毎項目情報!H133="","",検体毎項目情報!H133)</f>
        <v/>
      </c>
      <c r="BA132" s="12" t="str">
        <f>IF(検体毎項目情報!I133="","",検体毎項目情報!I133)</f>
        <v/>
      </c>
      <c r="BB132" s="12" t="str">
        <f>IF(検体毎項目情報!J133="","",検体毎項目情報!J133)</f>
        <v/>
      </c>
      <c r="BC132" s="12" t="str">
        <f>IF(検体毎項目情報!K133="","",検体毎項目情報!K133)</f>
        <v/>
      </c>
      <c r="BD132" s="12" t="str">
        <f>IF(検体毎項目情報!L133="","",検体毎項目情報!L133)</f>
        <v/>
      </c>
      <c r="BE132" s="12" t="str">
        <f>IF(検体毎項目情報!M133="","",検体毎項目情報!M133)</f>
        <v/>
      </c>
      <c r="BF132" s="12" t="str">
        <f>IF(検体毎項目情報!N133="","",検体毎項目情報!N133)</f>
        <v/>
      </c>
      <c r="BG132" s="12" t="str">
        <f>IF(検体毎項目情報!O133="","",検体毎項目情報!O133)</f>
        <v/>
      </c>
      <c r="BH132" s="12" t="str">
        <f>IF(検体毎項目情報!P133="","",検体毎項目情報!P133)</f>
        <v/>
      </c>
      <c r="BI132" s="12" t="str">
        <f>IF(検体毎項目情報!Q133="","",検体毎項目情報!Q133)</f>
        <v/>
      </c>
      <c r="BJ132" s="12" t="str">
        <f>IF(検体毎項目情報!R133="","",検体毎項目情報!R133)</f>
        <v/>
      </c>
      <c r="BK132" s="12" t="str">
        <f>IF(検体毎項目情報!S133="","",検体毎項目情報!S133)</f>
        <v/>
      </c>
      <c r="BL132" s="12" t="str">
        <f>IF(検体毎項目情報!T133="","",検体毎項目情報!T133)</f>
        <v/>
      </c>
      <c r="BM132" s="12" t="str">
        <f>IF(検体毎項目情報!U133="","",検体毎項目情報!U133)</f>
        <v/>
      </c>
      <c r="BN132" s="12" t="str">
        <f>IF(検体毎項目情報!V133="","",検体毎項目情報!V133)</f>
        <v/>
      </c>
      <c r="BO132" s="12" t="str">
        <f>IF(検体毎項目情報!W133="","",検体毎項目情報!W133)</f>
        <v/>
      </c>
      <c r="BP132" s="12" t="str">
        <f>IF(検体毎項目情報!X133="","",検体毎項目情報!X133)</f>
        <v/>
      </c>
    </row>
    <row r="133" spans="44:68">
      <c r="AR133" s="32" t="str">
        <f>IF(AS133="","",COUNTIF(費用項目一覧!A:A,判定詳細!AU133))</f>
        <v/>
      </c>
      <c r="AS133" s="12" t="str">
        <f>IF(検体毎項目情報!A134="","",検体毎項目情報!A134)</f>
        <v/>
      </c>
      <c r="AT133" s="12" t="str">
        <f>IF(検体毎項目情報!B134="","",検体毎項目情報!B134)</f>
        <v/>
      </c>
      <c r="AU133" s="12" t="str">
        <f>IF(検体毎項目情報!C134="","",検体毎項目情報!C134)</f>
        <v/>
      </c>
      <c r="AV133" s="12" t="str">
        <f>IF(検体毎項目情報!D134="","",検体毎項目情報!D134)</f>
        <v/>
      </c>
      <c r="AW133" s="12" t="str">
        <f>IF(検体毎項目情報!E134="","",検体毎項目情報!E134)</f>
        <v/>
      </c>
      <c r="AX133" s="12" t="str">
        <f>IF(検体毎項目情報!F134="","",検体毎項目情報!F134)</f>
        <v/>
      </c>
      <c r="AY133" s="12" t="str">
        <f>IF(検体毎項目情報!G134="","",検体毎項目情報!G134)</f>
        <v/>
      </c>
      <c r="AZ133" s="12" t="str">
        <f>IF(検体毎項目情報!H134="","",検体毎項目情報!H134)</f>
        <v/>
      </c>
      <c r="BA133" s="12" t="str">
        <f>IF(検体毎項目情報!I134="","",検体毎項目情報!I134)</f>
        <v/>
      </c>
      <c r="BB133" s="12" t="str">
        <f>IF(検体毎項目情報!J134="","",検体毎項目情報!J134)</f>
        <v/>
      </c>
      <c r="BC133" s="12" t="str">
        <f>IF(検体毎項目情報!K134="","",検体毎項目情報!K134)</f>
        <v/>
      </c>
      <c r="BD133" s="12" t="str">
        <f>IF(検体毎項目情報!L134="","",検体毎項目情報!L134)</f>
        <v/>
      </c>
      <c r="BE133" s="12" t="str">
        <f>IF(検体毎項目情報!M134="","",検体毎項目情報!M134)</f>
        <v/>
      </c>
      <c r="BF133" s="12" t="str">
        <f>IF(検体毎項目情報!N134="","",検体毎項目情報!N134)</f>
        <v/>
      </c>
      <c r="BG133" s="12" t="str">
        <f>IF(検体毎項目情報!O134="","",検体毎項目情報!O134)</f>
        <v/>
      </c>
      <c r="BH133" s="12" t="str">
        <f>IF(検体毎項目情報!P134="","",検体毎項目情報!P134)</f>
        <v/>
      </c>
      <c r="BI133" s="12" t="str">
        <f>IF(検体毎項目情報!Q134="","",検体毎項目情報!Q134)</f>
        <v/>
      </c>
      <c r="BJ133" s="12" t="str">
        <f>IF(検体毎項目情報!R134="","",検体毎項目情報!R134)</f>
        <v/>
      </c>
      <c r="BK133" s="12" t="str">
        <f>IF(検体毎項目情報!S134="","",検体毎項目情報!S134)</f>
        <v/>
      </c>
      <c r="BL133" s="12" t="str">
        <f>IF(検体毎項目情報!T134="","",検体毎項目情報!T134)</f>
        <v/>
      </c>
      <c r="BM133" s="12" t="str">
        <f>IF(検体毎項目情報!U134="","",検体毎項目情報!U134)</f>
        <v/>
      </c>
      <c r="BN133" s="12" t="str">
        <f>IF(検体毎項目情報!V134="","",検体毎項目情報!V134)</f>
        <v/>
      </c>
      <c r="BO133" s="12" t="str">
        <f>IF(検体毎項目情報!W134="","",検体毎項目情報!W134)</f>
        <v/>
      </c>
      <c r="BP133" s="12" t="str">
        <f>IF(検体毎項目情報!X134="","",検体毎項目情報!X134)</f>
        <v/>
      </c>
    </row>
    <row r="134" spans="44:68">
      <c r="AR134" s="32" t="str">
        <f>IF(AS134="","",COUNTIF(費用項目一覧!A:A,判定詳細!AU134))</f>
        <v/>
      </c>
      <c r="AS134" s="12" t="str">
        <f>IF(検体毎項目情報!A135="","",検体毎項目情報!A135)</f>
        <v/>
      </c>
      <c r="AT134" s="12" t="str">
        <f>IF(検体毎項目情報!B135="","",検体毎項目情報!B135)</f>
        <v/>
      </c>
      <c r="AU134" s="12" t="str">
        <f>IF(検体毎項目情報!C135="","",検体毎項目情報!C135)</f>
        <v/>
      </c>
      <c r="AV134" s="12" t="str">
        <f>IF(検体毎項目情報!D135="","",検体毎項目情報!D135)</f>
        <v/>
      </c>
      <c r="AW134" s="12" t="str">
        <f>IF(検体毎項目情報!E135="","",検体毎項目情報!E135)</f>
        <v/>
      </c>
      <c r="AX134" s="12" t="str">
        <f>IF(検体毎項目情報!F135="","",検体毎項目情報!F135)</f>
        <v/>
      </c>
      <c r="AY134" s="12" t="str">
        <f>IF(検体毎項目情報!G135="","",検体毎項目情報!G135)</f>
        <v/>
      </c>
      <c r="AZ134" s="12" t="str">
        <f>IF(検体毎項目情報!H135="","",検体毎項目情報!H135)</f>
        <v/>
      </c>
      <c r="BA134" s="12" t="str">
        <f>IF(検体毎項目情報!I135="","",検体毎項目情報!I135)</f>
        <v/>
      </c>
      <c r="BB134" s="12" t="str">
        <f>IF(検体毎項目情報!J135="","",検体毎項目情報!J135)</f>
        <v/>
      </c>
      <c r="BC134" s="12" t="str">
        <f>IF(検体毎項目情報!K135="","",検体毎項目情報!K135)</f>
        <v/>
      </c>
      <c r="BD134" s="12" t="str">
        <f>IF(検体毎項目情報!L135="","",検体毎項目情報!L135)</f>
        <v/>
      </c>
      <c r="BE134" s="12" t="str">
        <f>IF(検体毎項目情報!M135="","",検体毎項目情報!M135)</f>
        <v/>
      </c>
      <c r="BF134" s="12" t="str">
        <f>IF(検体毎項目情報!N135="","",検体毎項目情報!N135)</f>
        <v/>
      </c>
      <c r="BG134" s="12" t="str">
        <f>IF(検体毎項目情報!O135="","",検体毎項目情報!O135)</f>
        <v/>
      </c>
      <c r="BH134" s="12" t="str">
        <f>IF(検体毎項目情報!P135="","",検体毎項目情報!P135)</f>
        <v/>
      </c>
      <c r="BI134" s="12" t="str">
        <f>IF(検体毎項目情報!Q135="","",検体毎項目情報!Q135)</f>
        <v/>
      </c>
      <c r="BJ134" s="12" t="str">
        <f>IF(検体毎項目情報!R135="","",検体毎項目情報!R135)</f>
        <v/>
      </c>
      <c r="BK134" s="12" t="str">
        <f>IF(検体毎項目情報!S135="","",検体毎項目情報!S135)</f>
        <v/>
      </c>
      <c r="BL134" s="12" t="str">
        <f>IF(検体毎項目情報!T135="","",検体毎項目情報!T135)</f>
        <v/>
      </c>
      <c r="BM134" s="12" t="str">
        <f>IF(検体毎項目情報!U135="","",検体毎項目情報!U135)</f>
        <v/>
      </c>
      <c r="BN134" s="12" t="str">
        <f>IF(検体毎項目情報!V135="","",検体毎項目情報!V135)</f>
        <v/>
      </c>
      <c r="BO134" s="12" t="str">
        <f>IF(検体毎項目情報!W135="","",検体毎項目情報!W135)</f>
        <v/>
      </c>
      <c r="BP134" s="12" t="str">
        <f>IF(検体毎項目情報!X135="","",検体毎項目情報!X135)</f>
        <v/>
      </c>
    </row>
    <row r="135" spans="44:68">
      <c r="AR135" s="32" t="str">
        <f>IF(AS135="","",COUNTIF(費用項目一覧!A:A,判定詳細!AU135))</f>
        <v/>
      </c>
      <c r="AS135" s="12" t="str">
        <f>IF(検体毎項目情報!A136="","",検体毎項目情報!A136)</f>
        <v/>
      </c>
      <c r="AT135" s="12" t="str">
        <f>IF(検体毎項目情報!B136="","",検体毎項目情報!B136)</f>
        <v/>
      </c>
      <c r="AU135" s="12" t="str">
        <f>IF(検体毎項目情報!C136="","",検体毎項目情報!C136)</f>
        <v/>
      </c>
      <c r="AV135" s="12" t="str">
        <f>IF(検体毎項目情報!D136="","",検体毎項目情報!D136)</f>
        <v/>
      </c>
      <c r="AW135" s="12" t="str">
        <f>IF(検体毎項目情報!E136="","",検体毎項目情報!E136)</f>
        <v/>
      </c>
      <c r="AX135" s="12" t="str">
        <f>IF(検体毎項目情報!F136="","",検体毎項目情報!F136)</f>
        <v/>
      </c>
      <c r="AY135" s="12" t="str">
        <f>IF(検体毎項目情報!G136="","",検体毎項目情報!G136)</f>
        <v/>
      </c>
      <c r="AZ135" s="12" t="str">
        <f>IF(検体毎項目情報!H136="","",検体毎項目情報!H136)</f>
        <v/>
      </c>
      <c r="BA135" s="12" t="str">
        <f>IF(検体毎項目情報!I136="","",検体毎項目情報!I136)</f>
        <v/>
      </c>
      <c r="BB135" s="12" t="str">
        <f>IF(検体毎項目情報!J136="","",検体毎項目情報!J136)</f>
        <v/>
      </c>
      <c r="BC135" s="12" t="str">
        <f>IF(検体毎項目情報!K136="","",検体毎項目情報!K136)</f>
        <v/>
      </c>
      <c r="BD135" s="12" t="str">
        <f>IF(検体毎項目情報!L136="","",検体毎項目情報!L136)</f>
        <v/>
      </c>
      <c r="BE135" s="12" t="str">
        <f>IF(検体毎項目情報!M136="","",検体毎項目情報!M136)</f>
        <v/>
      </c>
      <c r="BF135" s="12" t="str">
        <f>IF(検体毎項目情報!N136="","",検体毎項目情報!N136)</f>
        <v/>
      </c>
      <c r="BG135" s="12" t="str">
        <f>IF(検体毎項目情報!O136="","",検体毎項目情報!O136)</f>
        <v/>
      </c>
      <c r="BH135" s="12" t="str">
        <f>IF(検体毎項目情報!P136="","",検体毎項目情報!P136)</f>
        <v/>
      </c>
      <c r="BI135" s="12" t="str">
        <f>IF(検体毎項目情報!Q136="","",検体毎項目情報!Q136)</f>
        <v/>
      </c>
      <c r="BJ135" s="12" t="str">
        <f>IF(検体毎項目情報!R136="","",検体毎項目情報!R136)</f>
        <v/>
      </c>
      <c r="BK135" s="12" t="str">
        <f>IF(検体毎項目情報!S136="","",検体毎項目情報!S136)</f>
        <v/>
      </c>
      <c r="BL135" s="12" t="str">
        <f>IF(検体毎項目情報!T136="","",検体毎項目情報!T136)</f>
        <v/>
      </c>
      <c r="BM135" s="12" t="str">
        <f>IF(検体毎項目情報!U136="","",検体毎項目情報!U136)</f>
        <v/>
      </c>
      <c r="BN135" s="12" t="str">
        <f>IF(検体毎項目情報!V136="","",検体毎項目情報!V136)</f>
        <v/>
      </c>
      <c r="BO135" s="12" t="str">
        <f>IF(検体毎項目情報!W136="","",検体毎項目情報!W136)</f>
        <v/>
      </c>
      <c r="BP135" s="12" t="str">
        <f>IF(検体毎項目情報!X136="","",検体毎項目情報!X136)</f>
        <v/>
      </c>
    </row>
    <row r="136" spans="44:68">
      <c r="AR136" s="32" t="str">
        <f>IF(AS136="","",COUNTIF(費用項目一覧!A:A,判定詳細!AU136))</f>
        <v/>
      </c>
      <c r="AS136" s="12" t="str">
        <f>IF(検体毎項目情報!A137="","",検体毎項目情報!A137)</f>
        <v/>
      </c>
      <c r="AT136" s="12" t="str">
        <f>IF(検体毎項目情報!B137="","",検体毎項目情報!B137)</f>
        <v/>
      </c>
      <c r="AU136" s="12" t="str">
        <f>IF(検体毎項目情報!C137="","",検体毎項目情報!C137)</f>
        <v/>
      </c>
      <c r="AV136" s="12" t="str">
        <f>IF(検体毎項目情報!D137="","",検体毎項目情報!D137)</f>
        <v/>
      </c>
      <c r="AW136" s="12" t="str">
        <f>IF(検体毎項目情報!E137="","",検体毎項目情報!E137)</f>
        <v/>
      </c>
      <c r="AX136" s="12" t="str">
        <f>IF(検体毎項目情報!F137="","",検体毎項目情報!F137)</f>
        <v/>
      </c>
      <c r="AY136" s="12" t="str">
        <f>IF(検体毎項目情報!G137="","",検体毎項目情報!G137)</f>
        <v/>
      </c>
      <c r="AZ136" s="12" t="str">
        <f>IF(検体毎項目情報!H137="","",検体毎項目情報!H137)</f>
        <v/>
      </c>
      <c r="BA136" s="12" t="str">
        <f>IF(検体毎項目情報!I137="","",検体毎項目情報!I137)</f>
        <v/>
      </c>
      <c r="BB136" s="12" t="str">
        <f>IF(検体毎項目情報!J137="","",検体毎項目情報!J137)</f>
        <v/>
      </c>
      <c r="BC136" s="12" t="str">
        <f>IF(検体毎項目情報!K137="","",検体毎項目情報!K137)</f>
        <v/>
      </c>
      <c r="BD136" s="12" t="str">
        <f>IF(検体毎項目情報!L137="","",検体毎項目情報!L137)</f>
        <v/>
      </c>
      <c r="BE136" s="12" t="str">
        <f>IF(検体毎項目情報!M137="","",検体毎項目情報!M137)</f>
        <v/>
      </c>
      <c r="BF136" s="12" t="str">
        <f>IF(検体毎項目情報!N137="","",検体毎項目情報!N137)</f>
        <v/>
      </c>
      <c r="BG136" s="12" t="str">
        <f>IF(検体毎項目情報!O137="","",検体毎項目情報!O137)</f>
        <v/>
      </c>
      <c r="BH136" s="12" t="str">
        <f>IF(検体毎項目情報!P137="","",検体毎項目情報!P137)</f>
        <v/>
      </c>
      <c r="BI136" s="12" t="str">
        <f>IF(検体毎項目情報!Q137="","",検体毎項目情報!Q137)</f>
        <v/>
      </c>
      <c r="BJ136" s="12" t="str">
        <f>IF(検体毎項目情報!R137="","",検体毎項目情報!R137)</f>
        <v/>
      </c>
      <c r="BK136" s="12" t="str">
        <f>IF(検体毎項目情報!S137="","",検体毎項目情報!S137)</f>
        <v/>
      </c>
      <c r="BL136" s="12" t="str">
        <f>IF(検体毎項目情報!T137="","",検体毎項目情報!T137)</f>
        <v/>
      </c>
      <c r="BM136" s="12" t="str">
        <f>IF(検体毎項目情報!U137="","",検体毎項目情報!U137)</f>
        <v/>
      </c>
      <c r="BN136" s="12" t="str">
        <f>IF(検体毎項目情報!V137="","",検体毎項目情報!V137)</f>
        <v/>
      </c>
      <c r="BO136" s="12" t="str">
        <f>IF(検体毎項目情報!W137="","",検体毎項目情報!W137)</f>
        <v/>
      </c>
      <c r="BP136" s="12" t="str">
        <f>IF(検体毎項目情報!X137="","",検体毎項目情報!X137)</f>
        <v/>
      </c>
    </row>
    <row r="137" spans="44:68">
      <c r="AR137" s="32" t="str">
        <f>IF(AS137="","",COUNTIF(費用項目一覧!A:A,判定詳細!AU137))</f>
        <v/>
      </c>
      <c r="AS137" s="12" t="str">
        <f>IF(検体毎項目情報!A138="","",検体毎項目情報!A138)</f>
        <v/>
      </c>
      <c r="AT137" s="12" t="str">
        <f>IF(検体毎項目情報!B138="","",検体毎項目情報!B138)</f>
        <v/>
      </c>
      <c r="AU137" s="12" t="str">
        <f>IF(検体毎項目情報!C138="","",検体毎項目情報!C138)</f>
        <v/>
      </c>
      <c r="AV137" s="12" t="str">
        <f>IF(検体毎項目情報!D138="","",検体毎項目情報!D138)</f>
        <v/>
      </c>
      <c r="AW137" s="12" t="str">
        <f>IF(検体毎項目情報!E138="","",検体毎項目情報!E138)</f>
        <v/>
      </c>
      <c r="AX137" s="12" t="str">
        <f>IF(検体毎項目情報!F138="","",検体毎項目情報!F138)</f>
        <v/>
      </c>
      <c r="AY137" s="12" t="str">
        <f>IF(検体毎項目情報!G138="","",検体毎項目情報!G138)</f>
        <v/>
      </c>
      <c r="AZ137" s="12" t="str">
        <f>IF(検体毎項目情報!H138="","",検体毎項目情報!H138)</f>
        <v/>
      </c>
      <c r="BA137" s="12" t="str">
        <f>IF(検体毎項目情報!I138="","",検体毎項目情報!I138)</f>
        <v/>
      </c>
      <c r="BB137" s="12" t="str">
        <f>IF(検体毎項目情報!J138="","",検体毎項目情報!J138)</f>
        <v/>
      </c>
      <c r="BC137" s="12" t="str">
        <f>IF(検体毎項目情報!K138="","",検体毎項目情報!K138)</f>
        <v/>
      </c>
      <c r="BD137" s="12" t="str">
        <f>IF(検体毎項目情報!L138="","",検体毎項目情報!L138)</f>
        <v/>
      </c>
      <c r="BE137" s="12" t="str">
        <f>IF(検体毎項目情報!M138="","",検体毎項目情報!M138)</f>
        <v/>
      </c>
      <c r="BF137" s="12" t="str">
        <f>IF(検体毎項目情報!N138="","",検体毎項目情報!N138)</f>
        <v/>
      </c>
      <c r="BG137" s="12" t="str">
        <f>IF(検体毎項目情報!O138="","",検体毎項目情報!O138)</f>
        <v/>
      </c>
      <c r="BH137" s="12" t="str">
        <f>IF(検体毎項目情報!P138="","",検体毎項目情報!P138)</f>
        <v/>
      </c>
      <c r="BI137" s="12" t="str">
        <f>IF(検体毎項目情報!Q138="","",検体毎項目情報!Q138)</f>
        <v/>
      </c>
      <c r="BJ137" s="12" t="str">
        <f>IF(検体毎項目情報!R138="","",検体毎項目情報!R138)</f>
        <v/>
      </c>
      <c r="BK137" s="12" t="str">
        <f>IF(検体毎項目情報!S138="","",検体毎項目情報!S138)</f>
        <v/>
      </c>
      <c r="BL137" s="12" t="str">
        <f>IF(検体毎項目情報!T138="","",検体毎項目情報!T138)</f>
        <v/>
      </c>
      <c r="BM137" s="12" t="str">
        <f>IF(検体毎項目情報!U138="","",検体毎項目情報!U138)</f>
        <v/>
      </c>
      <c r="BN137" s="12" t="str">
        <f>IF(検体毎項目情報!V138="","",検体毎項目情報!V138)</f>
        <v/>
      </c>
      <c r="BO137" s="12" t="str">
        <f>IF(検体毎項目情報!W138="","",検体毎項目情報!W138)</f>
        <v/>
      </c>
      <c r="BP137" s="12" t="str">
        <f>IF(検体毎項目情報!X138="","",検体毎項目情報!X138)</f>
        <v/>
      </c>
    </row>
    <row r="138" spans="44:68">
      <c r="AR138" s="32" t="str">
        <f>IF(AS138="","",COUNTIF(費用項目一覧!A:A,判定詳細!AU138))</f>
        <v/>
      </c>
      <c r="AS138" s="12" t="str">
        <f>IF(検体毎項目情報!A139="","",検体毎項目情報!A139)</f>
        <v/>
      </c>
      <c r="AT138" s="12" t="str">
        <f>IF(検体毎項目情報!B139="","",検体毎項目情報!B139)</f>
        <v/>
      </c>
      <c r="AU138" s="12" t="str">
        <f>IF(検体毎項目情報!C139="","",検体毎項目情報!C139)</f>
        <v/>
      </c>
      <c r="AV138" s="12" t="str">
        <f>IF(検体毎項目情報!D139="","",検体毎項目情報!D139)</f>
        <v/>
      </c>
      <c r="AW138" s="12" t="str">
        <f>IF(検体毎項目情報!E139="","",検体毎項目情報!E139)</f>
        <v/>
      </c>
      <c r="AX138" s="12" t="str">
        <f>IF(検体毎項目情報!F139="","",検体毎項目情報!F139)</f>
        <v/>
      </c>
      <c r="AY138" s="12" t="str">
        <f>IF(検体毎項目情報!G139="","",検体毎項目情報!G139)</f>
        <v/>
      </c>
      <c r="AZ138" s="12" t="str">
        <f>IF(検体毎項目情報!H139="","",検体毎項目情報!H139)</f>
        <v/>
      </c>
      <c r="BA138" s="12" t="str">
        <f>IF(検体毎項目情報!I139="","",検体毎項目情報!I139)</f>
        <v/>
      </c>
      <c r="BB138" s="12" t="str">
        <f>IF(検体毎項目情報!J139="","",検体毎項目情報!J139)</f>
        <v/>
      </c>
      <c r="BC138" s="12" t="str">
        <f>IF(検体毎項目情報!K139="","",検体毎項目情報!K139)</f>
        <v/>
      </c>
      <c r="BD138" s="12" t="str">
        <f>IF(検体毎項目情報!L139="","",検体毎項目情報!L139)</f>
        <v/>
      </c>
      <c r="BE138" s="12" t="str">
        <f>IF(検体毎項目情報!M139="","",検体毎項目情報!M139)</f>
        <v/>
      </c>
      <c r="BF138" s="12" t="str">
        <f>IF(検体毎項目情報!N139="","",検体毎項目情報!N139)</f>
        <v/>
      </c>
      <c r="BG138" s="12" t="str">
        <f>IF(検体毎項目情報!O139="","",検体毎項目情報!O139)</f>
        <v/>
      </c>
      <c r="BH138" s="12" t="str">
        <f>IF(検体毎項目情報!P139="","",検体毎項目情報!P139)</f>
        <v/>
      </c>
      <c r="BI138" s="12" t="str">
        <f>IF(検体毎項目情報!Q139="","",検体毎項目情報!Q139)</f>
        <v/>
      </c>
      <c r="BJ138" s="12" t="str">
        <f>IF(検体毎項目情報!R139="","",検体毎項目情報!R139)</f>
        <v/>
      </c>
      <c r="BK138" s="12" t="str">
        <f>IF(検体毎項目情報!S139="","",検体毎項目情報!S139)</f>
        <v/>
      </c>
      <c r="BL138" s="12" t="str">
        <f>IF(検体毎項目情報!T139="","",検体毎項目情報!T139)</f>
        <v/>
      </c>
      <c r="BM138" s="12" t="str">
        <f>IF(検体毎項目情報!U139="","",検体毎項目情報!U139)</f>
        <v/>
      </c>
      <c r="BN138" s="12" t="str">
        <f>IF(検体毎項目情報!V139="","",検体毎項目情報!V139)</f>
        <v/>
      </c>
      <c r="BO138" s="12" t="str">
        <f>IF(検体毎項目情報!W139="","",検体毎項目情報!W139)</f>
        <v/>
      </c>
      <c r="BP138" s="12" t="str">
        <f>IF(検体毎項目情報!X139="","",検体毎項目情報!X139)</f>
        <v/>
      </c>
    </row>
    <row r="139" spans="44:68">
      <c r="AR139" s="32" t="str">
        <f>IF(AS139="","",COUNTIF(費用項目一覧!A:A,判定詳細!AU139))</f>
        <v/>
      </c>
      <c r="AS139" s="12" t="str">
        <f>IF(検体毎項目情報!A140="","",検体毎項目情報!A140)</f>
        <v/>
      </c>
      <c r="AT139" s="12" t="str">
        <f>IF(検体毎項目情報!B140="","",検体毎項目情報!B140)</f>
        <v/>
      </c>
      <c r="AU139" s="12" t="str">
        <f>IF(検体毎項目情報!C140="","",検体毎項目情報!C140)</f>
        <v/>
      </c>
      <c r="AV139" s="12" t="str">
        <f>IF(検体毎項目情報!D140="","",検体毎項目情報!D140)</f>
        <v/>
      </c>
      <c r="AW139" s="12" t="str">
        <f>IF(検体毎項目情報!E140="","",検体毎項目情報!E140)</f>
        <v/>
      </c>
      <c r="AX139" s="12" t="str">
        <f>IF(検体毎項目情報!F140="","",検体毎項目情報!F140)</f>
        <v/>
      </c>
      <c r="AY139" s="12" t="str">
        <f>IF(検体毎項目情報!G140="","",検体毎項目情報!G140)</f>
        <v/>
      </c>
      <c r="AZ139" s="12" t="str">
        <f>IF(検体毎項目情報!H140="","",検体毎項目情報!H140)</f>
        <v/>
      </c>
      <c r="BA139" s="12" t="str">
        <f>IF(検体毎項目情報!I140="","",検体毎項目情報!I140)</f>
        <v/>
      </c>
      <c r="BB139" s="12" t="str">
        <f>IF(検体毎項目情報!J140="","",検体毎項目情報!J140)</f>
        <v/>
      </c>
      <c r="BC139" s="12" t="str">
        <f>IF(検体毎項目情報!K140="","",検体毎項目情報!K140)</f>
        <v/>
      </c>
      <c r="BD139" s="12" t="str">
        <f>IF(検体毎項目情報!L140="","",検体毎項目情報!L140)</f>
        <v/>
      </c>
      <c r="BE139" s="12" t="str">
        <f>IF(検体毎項目情報!M140="","",検体毎項目情報!M140)</f>
        <v/>
      </c>
      <c r="BF139" s="12" t="str">
        <f>IF(検体毎項目情報!N140="","",検体毎項目情報!N140)</f>
        <v/>
      </c>
      <c r="BG139" s="12" t="str">
        <f>IF(検体毎項目情報!O140="","",検体毎項目情報!O140)</f>
        <v/>
      </c>
      <c r="BH139" s="12" t="str">
        <f>IF(検体毎項目情報!P140="","",検体毎項目情報!P140)</f>
        <v/>
      </c>
      <c r="BI139" s="12" t="str">
        <f>IF(検体毎項目情報!Q140="","",検体毎項目情報!Q140)</f>
        <v/>
      </c>
      <c r="BJ139" s="12" t="str">
        <f>IF(検体毎項目情報!R140="","",検体毎項目情報!R140)</f>
        <v/>
      </c>
      <c r="BK139" s="12" t="str">
        <f>IF(検体毎項目情報!S140="","",検体毎項目情報!S140)</f>
        <v/>
      </c>
      <c r="BL139" s="12" t="str">
        <f>IF(検体毎項目情報!T140="","",検体毎項目情報!T140)</f>
        <v/>
      </c>
      <c r="BM139" s="12" t="str">
        <f>IF(検体毎項目情報!U140="","",検体毎項目情報!U140)</f>
        <v/>
      </c>
      <c r="BN139" s="12" t="str">
        <f>IF(検体毎項目情報!V140="","",検体毎項目情報!V140)</f>
        <v/>
      </c>
      <c r="BO139" s="12" t="str">
        <f>IF(検体毎項目情報!W140="","",検体毎項目情報!W140)</f>
        <v/>
      </c>
      <c r="BP139" s="12" t="str">
        <f>IF(検体毎項目情報!X140="","",検体毎項目情報!X140)</f>
        <v/>
      </c>
    </row>
    <row r="140" spans="44:68">
      <c r="AR140" s="32" t="str">
        <f>IF(AS140="","",COUNTIF(費用項目一覧!A:A,判定詳細!AU140))</f>
        <v/>
      </c>
      <c r="AS140" s="12" t="str">
        <f>IF(検体毎項目情報!A141="","",検体毎項目情報!A141)</f>
        <v/>
      </c>
      <c r="AT140" s="12" t="str">
        <f>IF(検体毎項目情報!B141="","",検体毎項目情報!B141)</f>
        <v/>
      </c>
      <c r="AU140" s="12" t="str">
        <f>IF(検体毎項目情報!C141="","",検体毎項目情報!C141)</f>
        <v/>
      </c>
      <c r="AV140" s="12" t="str">
        <f>IF(検体毎項目情報!D141="","",検体毎項目情報!D141)</f>
        <v/>
      </c>
      <c r="AW140" s="12" t="str">
        <f>IF(検体毎項目情報!E141="","",検体毎項目情報!E141)</f>
        <v/>
      </c>
      <c r="AX140" s="12" t="str">
        <f>IF(検体毎項目情報!F141="","",検体毎項目情報!F141)</f>
        <v/>
      </c>
      <c r="AY140" s="12" t="str">
        <f>IF(検体毎項目情報!G141="","",検体毎項目情報!G141)</f>
        <v/>
      </c>
      <c r="AZ140" s="12" t="str">
        <f>IF(検体毎項目情報!H141="","",検体毎項目情報!H141)</f>
        <v/>
      </c>
      <c r="BA140" s="12" t="str">
        <f>IF(検体毎項目情報!I141="","",検体毎項目情報!I141)</f>
        <v/>
      </c>
      <c r="BB140" s="12" t="str">
        <f>IF(検体毎項目情報!J141="","",検体毎項目情報!J141)</f>
        <v/>
      </c>
      <c r="BC140" s="12" t="str">
        <f>IF(検体毎項目情報!K141="","",検体毎項目情報!K141)</f>
        <v/>
      </c>
      <c r="BD140" s="12" t="str">
        <f>IF(検体毎項目情報!L141="","",検体毎項目情報!L141)</f>
        <v/>
      </c>
      <c r="BE140" s="12" t="str">
        <f>IF(検体毎項目情報!M141="","",検体毎項目情報!M141)</f>
        <v/>
      </c>
      <c r="BF140" s="12" t="str">
        <f>IF(検体毎項目情報!N141="","",検体毎項目情報!N141)</f>
        <v/>
      </c>
      <c r="BG140" s="12" t="str">
        <f>IF(検体毎項目情報!O141="","",検体毎項目情報!O141)</f>
        <v/>
      </c>
      <c r="BH140" s="12" t="str">
        <f>IF(検体毎項目情報!P141="","",検体毎項目情報!P141)</f>
        <v/>
      </c>
      <c r="BI140" s="12" t="str">
        <f>IF(検体毎項目情報!Q141="","",検体毎項目情報!Q141)</f>
        <v/>
      </c>
      <c r="BJ140" s="12" t="str">
        <f>IF(検体毎項目情報!R141="","",検体毎項目情報!R141)</f>
        <v/>
      </c>
      <c r="BK140" s="12" t="str">
        <f>IF(検体毎項目情報!S141="","",検体毎項目情報!S141)</f>
        <v/>
      </c>
      <c r="BL140" s="12" t="str">
        <f>IF(検体毎項目情報!T141="","",検体毎項目情報!T141)</f>
        <v/>
      </c>
      <c r="BM140" s="12" t="str">
        <f>IF(検体毎項目情報!U141="","",検体毎項目情報!U141)</f>
        <v/>
      </c>
      <c r="BN140" s="12" t="str">
        <f>IF(検体毎項目情報!V141="","",検体毎項目情報!V141)</f>
        <v/>
      </c>
      <c r="BO140" s="12" t="str">
        <f>IF(検体毎項目情報!W141="","",検体毎項目情報!W141)</f>
        <v/>
      </c>
      <c r="BP140" s="12" t="str">
        <f>IF(検体毎項目情報!X141="","",検体毎項目情報!X141)</f>
        <v/>
      </c>
    </row>
    <row r="141" spans="44:68">
      <c r="AR141" s="32" t="str">
        <f>IF(AS141="","",COUNTIF(費用項目一覧!A:A,判定詳細!AU141))</f>
        <v/>
      </c>
      <c r="AS141" s="12" t="str">
        <f>IF(検体毎項目情報!A142="","",検体毎項目情報!A142)</f>
        <v/>
      </c>
      <c r="AT141" s="12" t="str">
        <f>IF(検体毎項目情報!B142="","",検体毎項目情報!B142)</f>
        <v/>
      </c>
      <c r="AU141" s="12" t="str">
        <f>IF(検体毎項目情報!C142="","",検体毎項目情報!C142)</f>
        <v/>
      </c>
      <c r="AV141" s="12" t="str">
        <f>IF(検体毎項目情報!D142="","",検体毎項目情報!D142)</f>
        <v/>
      </c>
      <c r="AW141" s="12" t="str">
        <f>IF(検体毎項目情報!E142="","",検体毎項目情報!E142)</f>
        <v/>
      </c>
      <c r="AX141" s="12" t="str">
        <f>IF(検体毎項目情報!F142="","",検体毎項目情報!F142)</f>
        <v/>
      </c>
      <c r="AY141" s="12" t="str">
        <f>IF(検体毎項目情報!G142="","",検体毎項目情報!G142)</f>
        <v/>
      </c>
      <c r="AZ141" s="12" t="str">
        <f>IF(検体毎項目情報!H142="","",検体毎項目情報!H142)</f>
        <v/>
      </c>
      <c r="BA141" s="12" t="str">
        <f>IF(検体毎項目情報!I142="","",検体毎項目情報!I142)</f>
        <v/>
      </c>
      <c r="BB141" s="12" t="str">
        <f>IF(検体毎項目情報!J142="","",検体毎項目情報!J142)</f>
        <v/>
      </c>
      <c r="BC141" s="12" t="str">
        <f>IF(検体毎項目情報!K142="","",検体毎項目情報!K142)</f>
        <v/>
      </c>
      <c r="BD141" s="12" t="str">
        <f>IF(検体毎項目情報!L142="","",検体毎項目情報!L142)</f>
        <v/>
      </c>
      <c r="BE141" s="12" t="str">
        <f>IF(検体毎項目情報!M142="","",検体毎項目情報!M142)</f>
        <v/>
      </c>
      <c r="BF141" s="12" t="str">
        <f>IF(検体毎項目情報!N142="","",検体毎項目情報!N142)</f>
        <v/>
      </c>
      <c r="BG141" s="12" t="str">
        <f>IF(検体毎項目情報!O142="","",検体毎項目情報!O142)</f>
        <v/>
      </c>
      <c r="BH141" s="12" t="str">
        <f>IF(検体毎項目情報!P142="","",検体毎項目情報!P142)</f>
        <v/>
      </c>
      <c r="BI141" s="12" t="str">
        <f>IF(検体毎項目情報!Q142="","",検体毎項目情報!Q142)</f>
        <v/>
      </c>
      <c r="BJ141" s="12" t="str">
        <f>IF(検体毎項目情報!R142="","",検体毎項目情報!R142)</f>
        <v/>
      </c>
      <c r="BK141" s="12" t="str">
        <f>IF(検体毎項目情報!S142="","",検体毎項目情報!S142)</f>
        <v/>
      </c>
      <c r="BL141" s="12" t="str">
        <f>IF(検体毎項目情報!T142="","",検体毎項目情報!T142)</f>
        <v/>
      </c>
      <c r="BM141" s="12" t="str">
        <f>IF(検体毎項目情報!U142="","",検体毎項目情報!U142)</f>
        <v/>
      </c>
      <c r="BN141" s="12" t="str">
        <f>IF(検体毎項目情報!V142="","",検体毎項目情報!V142)</f>
        <v/>
      </c>
      <c r="BO141" s="12" t="str">
        <f>IF(検体毎項目情報!W142="","",検体毎項目情報!W142)</f>
        <v/>
      </c>
      <c r="BP141" s="12" t="str">
        <f>IF(検体毎項目情報!X142="","",検体毎項目情報!X142)</f>
        <v/>
      </c>
    </row>
    <row r="142" spans="44:68">
      <c r="AR142" s="32" t="str">
        <f>IF(AS142="","",COUNTIF(費用項目一覧!A:A,判定詳細!AU142))</f>
        <v/>
      </c>
      <c r="AS142" s="12" t="str">
        <f>IF(検体毎項目情報!A143="","",検体毎項目情報!A143)</f>
        <v/>
      </c>
      <c r="AT142" s="12" t="str">
        <f>IF(検体毎項目情報!B143="","",検体毎項目情報!B143)</f>
        <v/>
      </c>
      <c r="AU142" s="12" t="str">
        <f>IF(検体毎項目情報!C143="","",検体毎項目情報!C143)</f>
        <v/>
      </c>
      <c r="AV142" s="12" t="str">
        <f>IF(検体毎項目情報!D143="","",検体毎項目情報!D143)</f>
        <v/>
      </c>
      <c r="AW142" s="12" t="str">
        <f>IF(検体毎項目情報!E143="","",検体毎項目情報!E143)</f>
        <v/>
      </c>
      <c r="AX142" s="12" t="str">
        <f>IF(検体毎項目情報!F143="","",検体毎項目情報!F143)</f>
        <v/>
      </c>
      <c r="AY142" s="12" t="str">
        <f>IF(検体毎項目情報!G143="","",検体毎項目情報!G143)</f>
        <v/>
      </c>
      <c r="AZ142" s="12" t="str">
        <f>IF(検体毎項目情報!H143="","",検体毎項目情報!H143)</f>
        <v/>
      </c>
      <c r="BA142" s="12" t="str">
        <f>IF(検体毎項目情報!I143="","",検体毎項目情報!I143)</f>
        <v/>
      </c>
      <c r="BB142" s="12" t="str">
        <f>IF(検体毎項目情報!J143="","",検体毎項目情報!J143)</f>
        <v/>
      </c>
      <c r="BC142" s="12" t="str">
        <f>IF(検体毎項目情報!K143="","",検体毎項目情報!K143)</f>
        <v/>
      </c>
      <c r="BD142" s="12" t="str">
        <f>IF(検体毎項目情報!L143="","",検体毎項目情報!L143)</f>
        <v/>
      </c>
      <c r="BE142" s="12" t="str">
        <f>IF(検体毎項目情報!M143="","",検体毎項目情報!M143)</f>
        <v/>
      </c>
      <c r="BF142" s="12" t="str">
        <f>IF(検体毎項目情報!N143="","",検体毎項目情報!N143)</f>
        <v/>
      </c>
      <c r="BG142" s="12" t="str">
        <f>IF(検体毎項目情報!O143="","",検体毎項目情報!O143)</f>
        <v/>
      </c>
      <c r="BH142" s="12" t="str">
        <f>IF(検体毎項目情報!P143="","",検体毎項目情報!P143)</f>
        <v/>
      </c>
      <c r="BI142" s="12" t="str">
        <f>IF(検体毎項目情報!Q143="","",検体毎項目情報!Q143)</f>
        <v/>
      </c>
      <c r="BJ142" s="12" t="str">
        <f>IF(検体毎項目情報!R143="","",検体毎項目情報!R143)</f>
        <v/>
      </c>
      <c r="BK142" s="12" t="str">
        <f>IF(検体毎項目情報!S143="","",検体毎項目情報!S143)</f>
        <v/>
      </c>
      <c r="BL142" s="12" t="str">
        <f>IF(検体毎項目情報!T143="","",検体毎項目情報!T143)</f>
        <v/>
      </c>
      <c r="BM142" s="12" t="str">
        <f>IF(検体毎項目情報!U143="","",検体毎項目情報!U143)</f>
        <v/>
      </c>
      <c r="BN142" s="12" t="str">
        <f>IF(検体毎項目情報!V143="","",検体毎項目情報!V143)</f>
        <v/>
      </c>
      <c r="BO142" s="12" t="str">
        <f>IF(検体毎項目情報!W143="","",検体毎項目情報!W143)</f>
        <v/>
      </c>
      <c r="BP142" s="12" t="str">
        <f>IF(検体毎項目情報!X143="","",検体毎項目情報!X143)</f>
        <v/>
      </c>
    </row>
    <row r="143" spans="44:68">
      <c r="AR143" s="32" t="str">
        <f>IF(AS143="","",COUNTIF(費用項目一覧!A:A,判定詳細!AU143))</f>
        <v/>
      </c>
      <c r="AS143" s="12" t="str">
        <f>IF(検体毎項目情報!A144="","",検体毎項目情報!A144)</f>
        <v/>
      </c>
      <c r="AT143" s="12" t="str">
        <f>IF(検体毎項目情報!B144="","",検体毎項目情報!B144)</f>
        <v/>
      </c>
      <c r="AU143" s="12" t="str">
        <f>IF(検体毎項目情報!C144="","",検体毎項目情報!C144)</f>
        <v/>
      </c>
      <c r="AV143" s="12" t="str">
        <f>IF(検体毎項目情報!D144="","",検体毎項目情報!D144)</f>
        <v/>
      </c>
      <c r="AW143" s="12" t="str">
        <f>IF(検体毎項目情報!E144="","",検体毎項目情報!E144)</f>
        <v/>
      </c>
      <c r="AX143" s="12" t="str">
        <f>IF(検体毎項目情報!F144="","",検体毎項目情報!F144)</f>
        <v/>
      </c>
      <c r="AY143" s="12" t="str">
        <f>IF(検体毎項目情報!G144="","",検体毎項目情報!G144)</f>
        <v/>
      </c>
      <c r="AZ143" s="12" t="str">
        <f>IF(検体毎項目情報!H144="","",検体毎項目情報!H144)</f>
        <v/>
      </c>
      <c r="BA143" s="12" t="str">
        <f>IF(検体毎項目情報!I144="","",検体毎項目情報!I144)</f>
        <v/>
      </c>
      <c r="BB143" s="12" t="str">
        <f>IF(検体毎項目情報!J144="","",検体毎項目情報!J144)</f>
        <v/>
      </c>
      <c r="BC143" s="12" t="str">
        <f>IF(検体毎項目情報!K144="","",検体毎項目情報!K144)</f>
        <v/>
      </c>
      <c r="BD143" s="12" t="str">
        <f>IF(検体毎項目情報!L144="","",検体毎項目情報!L144)</f>
        <v/>
      </c>
      <c r="BE143" s="12" t="str">
        <f>IF(検体毎項目情報!M144="","",検体毎項目情報!M144)</f>
        <v/>
      </c>
      <c r="BF143" s="12" t="str">
        <f>IF(検体毎項目情報!N144="","",検体毎項目情報!N144)</f>
        <v/>
      </c>
      <c r="BG143" s="12" t="str">
        <f>IF(検体毎項目情報!O144="","",検体毎項目情報!O144)</f>
        <v/>
      </c>
      <c r="BH143" s="12" t="str">
        <f>IF(検体毎項目情報!P144="","",検体毎項目情報!P144)</f>
        <v/>
      </c>
      <c r="BI143" s="12" t="str">
        <f>IF(検体毎項目情報!Q144="","",検体毎項目情報!Q144)</f>
        <v/>
      </c>
      <c r="BJ143" s="12" t="str">
        <f>IF(検体毎項目情報!R144="","",検体毎項目情報!R144)</f>
        <v/>
      </c>
      <c r="BK143" s="12" t="str">
        <f>IF(検体毎項目情報!S144="","",検体毎項目情報!S144)</f>
        <v/>
      </c>
      <c r="BL143" s="12" t="str">
        <f>IF(検体毎項目情報!T144="","",検体毎項目情報!T144)</f>
        <v/>
      </c>
      <c r="BM143" s="12" t="str">
        <f>IF(検体毎項目情報!U144="","",検体毎項目情報!U144)</f>
        <v/>
      </c>
      <c r="BN143" s="12" t="str">
        <f>IF(検体毎項目情報!V144="","",検体毎項目情報!V144)</f>
        <v/>
      </c>
      <c r="BO143" s="12" t="str">
        <f>IF(検体毎項目情報!W144="","",検体毎項目情報!W144)</f>
        <v/>
      </c>
      <c r="BP143" s="12" t="str">
        <f>IF(検体毎項目情報!X144="","",検体毎項目情報!X144)</f>
        <v/>
      </c>
    </row>
    <row r="144" spans="44:68">
      <c r="AR144" s="32" t="str">
        <f>IF(AS144="","",COUNTIF(費用項目一覧!A:A,判定詳細!AU144))</f>
        <v/>
      </c>
      <c r="AS144" s="12" t="str">
        <f>IF(検体毎項目情報!A145="","",検体毎項目情報!A145)</f>
        <v/>
      </c>
      <c r="AT144" s="12" t="str">
        <f>IF(検体毎項目情報!B145="","",検体毎項目情報!B145)</f>
        <v/>
      </c>
      <c r="AU144" s="12" t="str">
        <f>IF(検体毎項目情報!C145="","",検体毎項目情報!C145)</f>
        <v/>
      </c>
      <c r="AV144" s="12" t="str">
        <f>IF(検体毎項目情報!D145="","",検体毎項目情報!D145)</f>
        <v/>
      </c>
      <c r="AW144" s="12" t="str">
        <f>IF(検体毎項目情報!E145="","",検体毎項目情報!E145)</f>
        <v/>
      </c>
      <c r="AX144" s="12" t="str">
        <f>IF(検体毎項目情報!F145="","",検体毎項目情報!F145)</f>
        <v/>
      </c>
      <c r="AY144" s="12" t="str">
        <f>IF(検体毎項目情報!G145="","",検体毎項目情報!G145)</f>
        <v/>
      </c>
      <c r="AZ144" s="12" t="str">
        <f>IF(検体毎項目情報!H145="","",検体毎項目情報!H145)</f>
        <v/>
      </c>
      <c r="BA144" s="12" t="str">
        <f>IF(検体毎項目情報!I145="","",検体毎項目情報!I145)</f>
        <v/>
      </c>
      <c r="BB144" s="12" t="str">
        <f>IF(検体毎項目情報!J145="","",検体毎項目情報!J145)</f>
        <v/>
      </c>
      <c r="BC144" s="12" t="str">
        <f>IF(検体毎項目情報!K145="","",検体毎項目情報!K145)</f>
        <v/>
      </c>
      <c r="BD144" s="12" t="str">
        <f>IF(検体毎項目情報!L145="","",検体毎項目情報!L145)</f>
        <v/>
      </c>
      <c r="BE144" s="12" t="str">
        <f>IF(検体毎項目情報!M145="","",検体毎項目情報!M145)</f>
        <v/>
      </c>
      <c r="BF144" s="12" t="str">
        <f>IF(検体毎項目情報!N145="","",検体毎項目情報!N145)</f>
        <v/>
      </c>
      <c r="BG144" s="12" t="str">
        <f>IF(検体毎項目情報!O145="","",検体毎項目情報!O145)</f>
        <v/>
      </c>
      <c r="BH144" s="12" t="str">
        <f>IF(検体毎項目情報!P145="","",検体毎項目情報!P145)</f>
        <v/>
      </c>
      <c r="BI144" s="12" t="str">
        <f>IF(検体毎項目情報!Q145="","",検体毎項目情報!Q145)</f>
        <v/>
      </c>
      <c r="BJ144" s="12" t="str">
        <f>IF(検体毎項目情報!R145="","",検体毎項目情報!R145)</f>
        <v/>
      </c>
      <c r="BK144" s="12" t="str">
        <f>IF(検体毎項目情報!S145="","",検体毎項目情報!S145)</f>
        <v/>
      </c>
      <c r="BL144" s="12" t="str">
        <f>IF(検体毎項目情報!T145="","",検体毎項目情報!T145)</f>
        <v/>
      </c>
      <c r="BM144" s="12" t="str">
        <f>IF(検体毎項目情報!U145="","",検体毎項目情報!U145)</f>
        <v/>
      </c>
      <c r="BN144" s="12" t="str">
        <f>IF(検体毎項目情報!V145="","",検体毎項目情報!V145)</f>
        <v/>
      </c>
      <c r="BO144" s="12" t="str">
        <f>IF(検体毎項目情報!W145="","",検体毎項目情報!W145)</f>
        <v/>
      </c>
      <c r="BP144" s="12" t="str">
        <f>IF(検体毎項目情報!X145="","",検体毎項目情報!X145)</f>
        <v/>
      </c>
    </row>
    <row r="145" spans="44:68">
      <c r="AR145" s="32" t="str">
        <f>IF(AS145="","",COUNTIF(費用項目一覧!A:A,判定詳細!AU145))</f>
        <v/>
      </c>
      <c r="AS145" s="12" t="str">
        <f>IF(検体毎項目情報!A146="","",検体毎項目情報!A146)</f>
        <v/>
      </c>
      <c r="AT145" s="12" t="str">
        <f>IF(検体毎項目情報!B146="","",検体毎項目情報!B146)</f>
        <v/>
      </c>
      <c r="AU145" s="12" t="str">
        <f>IF(検体毎項目情報!C146="","",検体毎項目情報!C146)</f>
        <v/>
      </c>
      <c r="AV145" s="12" t="str">
        <f>IF(検体毎項目情報!D146="","",検体毎項目情報!D146)</f>
        <v/>
      </c>
      <c r="AW145" s="12" t="str">
        <f>IF(検体毎項目情報!E146="","",検体毎項目情報!E146)</f>
        <v/>
      </c>
      <c r="AX145" s="12" t="str">
        <f>IF(検体毎項目情報!F146="","",検体毎項目情報!F146)</f>
        <v/>
      </c>
      <c r="AY145" s="12" t="str">
        <f>IF(検体毎項目情報!G146="","",検体毎項目情報!G146)</f>
        <v/>
      </c>
      <c r="AZ145" s="12" t="str">
        <f>IF(検体毎項目情報!H146="","",検体毎項目情報!H146)</f>
        <v/>
      </c>
      <c r="BA145" s="12" t="str">
        <f>IF(検体毎項目情報!I146="","",検体毎項目情報!I146)</f>
        <v/>
      </c>
      <c r="BB145" s="12" t="str">
        <f>IF(検体毎項目情報!J146="","",検体毎項目情報!J146)</f>
        <v/>
      </c>
      <c r="BC145" s="12" t="str">
        <f>IF(検体毎項目情報!K146="","",検体毎項目情報!K146)</f>
        <v/>
      </c>
      <c r="BD145" s="12" t="str">
        <f>IF(検体毎項目情報!L146="","",検体毎項目情報!L146)</f>
        <v/>
      </c>
      <c r="BE145" s="12" t="str">
        <f>IF(検体毎項目情報!M146="","",検体毎項目情報!M146)</f>
        <v/>
      </c>
      <c r="BF145" s="12" t="str">
        <f>IF(検体毎項目情報!N146="","",検体毎項目情報!N146)</f>
        <v/>
      </c>
      <c r="BG145" s="12" t="str">
        <f>IF(検体毎項目情報!O146="","",検体毎項目情報!O146)</f>
        <v/>
      </c>
      <c r="BH145" s="12" t="str">
        <f>IF(検体毎項目情報!P146="","",検体毎項目情報!P146)</f>
        <v/>
      </c>
      <c r="BI145" s="12" t="str">
        <f>IF(検体毎項目情報!Q146="","",検体毎項目情報!Q146)</f>
        <v/>
      </c>
      <c r="BJ145" s="12" t="str">
        <f>IF(検体毎項目情報!R146="","",検体毎項目情報!R146)</f>
        <v/>
      </c>
      <c r="BK145" s="12" t="str">
        <f>IF(検体毎項目情報!S146="","",検体毎項目情報!S146)</f>
        <v/>
      </c>
      <c r="BL145" s="12" t="str">
        <f>IF(検体毎項目情報!T146="","",検体毎項目情報!T146)</f>
        <v/>
      </c>
      <c r="BM145" s="12" t="str">
        <f>IF(検体毎項目情報!U146="","",検体毎項目情報!U146)</f>
        <v/>
      </c>
      <c r="BN145" s="12" t="str">
        <f>IF(検体毎項目情報!V146="","",検体毎項目情報!V146)</f>
        <v/>
      </c>
      <c r="BO145" s="12" t="str">
        <f>IF(検体毎項目情報!W146="","",検体毎項目情報!W146)</f>
        <v/>
      </c>
      <c r="BP145" s="12" t="str">
        <f>IF(検体毎項目情報!X146="","",検体毎項目情報!X146)</f>
        <v/>
      </c>
    </row>
    <row r="146" spans="44:68">
      <c r="AR146" s="32" t="str">
        <f>IF(AS146="","",COUNTIF(費用項目一覧!A:A,判定詳細!AU146))</f>
        <v/>
      </c>
      <c r="AS146" s="12" t="str">
        <f>IF(検体毎項目情報!A147="","",検体毎項目情報!A147)</f>
        <v/>
      </c>
      <c r="AT146" s="12" t="str">
        <f>IF(検体毎項目情報!B147="","",検体毎項目情報!B147)</f>
        <v/>
      </c>
      <c r="AU146" s="12" t="str">
        <f>IF(検体毎項目情報!C147="","",検体毎項目情報!C147)</f>
        <v/>
      </c>
      <c r="AV146" s="12" t="str">
        <f>IF(検体毎項目情報!D147="","",検体毎項目情報!D147)</f>
        <v/>
      </c>
      <c r="AW146" s="12" t="str">
        <f>IF(検体毎項目情報!E147="","",検体毎項目情報!E147)</f>
        <v/>
      </c>
      <c r="AX146" s="12" t="str">
        <f>IF(検体毎項目情報!F147="","",検体毎項目情報!F147)</f>
        <v/>
      </c>
      <c r="AY146" s="12" t="str">
        <f>IF(検体毎項目情報!G147="","",検体毎項目情報!G147)</f>
        <v/>
      </c>
      <c r="AZ146" s="12" t="str">
        <f>IF(検体毎項目情報!H147="","",検体毎項目情報!H147)</f>
        <v/>
      </c>
      <c r="BA146" s="12" t="str">
        <f>IF(検体毎項目情報!I147="","",検体毎項目情報!I147)</f>
        <v/>
      </c>
      <c r="BB146" s="12" t="str">
        <f>IF(検体毎項目情報!J147="","",検体毎項目情報!J147)</f>
        <v/>
      </c>
      <c r="BC146" s="12" t="str">
        <f>IF(検体毎項目情報!K147="","",検体毎項目情報!K147)</f>
        <v/>
      </c>
      <c r="BD146" s="12" t="str">
        <f>IF(検体毎項目情報!L147="","",検体毎項目情報!L147)</f>
        <v/>
      </c>
      <c r="BE146" s="12" t="str">
        <f>IF(検体毎項目情報!M147="","",検体毎項目情報!M147)</f>
        <v/>
      </c>
      <c r="BF146" s="12" t="str">
        <f>IF(検体毎項目情報!N147="","",検体毎項目情報!N147)</f>
        <v/>
      </c>
      <c r="BG146" s="12" t="str">
        <f>IF(検体毎項目情報!O147="","",検体毎項目情報!O147)</f>
        <v/>
      </c>
      <c r="BH146" s="12" t="str">
        <f>IF(検体毎項目情報!P147="","",検体毎項目情報!P147)</f>
        <v/>
      </c>
      <c r="BI146" s="12" t="str">
        <f>IF(検体毎項目情報!Q147="","",検体毎項目情報!Q147)</f>
        <v/>
      </c>
      <c r="BJ146" s="12" t="str">
        <f>IF(検体毎項目情報!R147="","",検体毎項目情報!R147)</f>
        <v/>
      </c>
      <c r="BK146" s="12" t="str">
        <f>IF(検体毎項目情報!S147="","",検体毎項目情報!S147)</f>
        <v/>
      </c>
      <c r="BL146" s="12" t="str">
        <f>IF(検体毎項目情報!T147="","",検体毎項目情報!T147)</f>
        <v/>
      </c>
      <c r="BM146" s="12" t="str">
        <f>IF(検体毎項目情報!U147="","",検体毎項目情報!U147)</f>
        <v/>
      </c>
      <c r="BN146" s="12" t="str">
        <f>IF(検体毎項目情報!V147="","",検体毎項目情報!V147)</f>
        <v/>
      </c>
      <c r="BO146" s="12" t="str">
        <f>IF(検体毎項目情報!W147="","",検体毎項目情報!W147)</f>
        <v/>
      </c>
      <c r="BP146" s="12" t="str">
        <f>IF(検体毎項目情報!X147="","",検体毎項目情報!X147)</f>
        <v/>
      </c>
    </row>
    <row r="147" spans="44:68">
      <c r="AR147" s="32" t="str">
        <f>IF(AS147="","",COUNTIF(費用項目一覧!A:A,判定詳細!AU147))</f>
        <v/>
      </c>
      <c r="AS147" s="12" t="str">
        <f>IF(検体毎項目情報!A148="","",検体毎項目情報!A148)</f>
        <v/>
      </c>
      <c r="AT147" s="12" t="str">
        <f>IF(検体毎項目情報!B148="","",検体毎項目情報!B148)</f>
        <v/>
      </c>
      <c r="AU147" s="12" t="str">
        <f>IF(検体毎項目情報!C148="","",検体毎項目情報!C148)</f>
        <v/>
      </c>
      <c r="AV147" s="12" t="str">
        <f>IF(検体毎項目情報!D148="","",検体毎項目情報!D148)</f>
        <v/>
      </c>
      <c r="AW147" s="12" t="str">
        <f>IF(検体毎項目情報!E148="","",検体毎項目情報!E148)</f>
        <v/>
      </c>
      <c r="AX147" s="12" t="str">
        <f>IF(検体毎項目情報!F148="","",検体毎項目情報!F148)</f>
        <v/>
      </c>
      <c r="AY147" s="12" t="str">
        <f>IF(検体毎項目情報!G148="","",検体毎項目情報!G148)</f>
        <v/>
      </c>
      <c r="AZ147" s="12" t="str">
        <f>IF(検体毎項目情報!H148="","",検体毎項目情報!H148)</f>
        <v/>
      </c>
      <c r="BA147" s="12" t="str">
        <f>IF(検体毎項目情報!I148="","",検体毎項目情報!I148)</f>
        <v/>
      </c>
      <c r="BB147" s="12" t="str">
        <f>IF(検体毎項目情報!J148="","",検体毎項目情報!J148)</f>
        <v/>
      </c>
      <c r="BC147" s="12" t="str">
        <f>IF(検体毎項目情報!K148="","",検体毎項目情報!K148)</f>
        <v/>
      </c>
      <c r="BD147" s="12" t="str">
        <f>IF(検体毎項目情報!L148="","",検体毎項目情報!L148)</f>
        <v/>
      </c>
      <c r="BE147" s="12" t="str">
        <f>IF(検体毎項目情報!M148="","",検体毎項目情報!M148)</f>
        <v/>
      </c>
      <c r="BF147" s="12" t="str">
        <f>IF(検体毎項目情報!N148="","",検体毎項目情報!N148)</f>
        <v/>
      </c>
      <c r="BG147" s="12" t="str">
        <f>IF(検体毎項目情報!O148="","",検体毎項目情報!O148)</f>
        <v/>
      </c>
      <c r="BH147" s="12" t="str">
        <f>IF(検体毎項目情報!P148="","",検体毎項目情報!P148)</f>
        <v/>
      </c>
      <c r="BI147" s="12" t="str">
        <f>IF(検体毎項目情報!Q148="","",検体毎項目情報!Q148)</f>
        <v/>
      </c>
      <c r="BJ147" s="12" t="str">
        <f>IF(検体毎項目情報!R148="","",検体毎項目情報!R148)</f>
        <v/>
      </c>
      <c r="BK147" s="12" t="str">
        <f>IF(検体毎項目情報!S148="","",検体毎項目情報!S148)</f>
        <v/>
      </c>
      <c r="BL147" s="12" t="str">
        <f>IF(検体毎項目情報!T148="","",検体毎項目情報!T148)</f>
        <v/>
      </c>
      <c r="BM147" s="12" t="str">
        <f>IF(検体毎項目情報!U148="","",検体毎項目情報!U148)</f>
        <v/>
      </c>
      <c r="BN147" s="12" t="str">
        <f>IF(検体毎項目情報!V148="","",検体毎項目情報!V148)</f>
        <v/>
      </c>
      <c r="BO147" s="12" t="str">
        <f>IF(検体毎項目情報!W148="","",検体毎項目情報!W148)</f>
        <v/>
      </c>
      <c r="BP147" s="12" t="str">
        <f>IF(検体毎項目情報!X148="","",検体毎項目情報!X148)</f>
        <v/>
      </c>
    </row>
    <row r="148" spans="44:68">
      <c r="AR148" s="32" t="str">
        <f>IF(AS148="","",COUNTIF(費用項目一覧!A:A,判定詳細!AU148))</f>
        <v/>
      </c>
      <c r="AS148" s="12" t="str">
        <f>IF(検体毎項目情報!A149="","",検体毎項目情報!A149)</f>
        <v/>
      </c>
      <c r="AT148" s="12" t="str">
        <f>IF(検体毎項目情報!B149="","",検体毎項目情報!B149)</f>
        <v/>
      </c>
      <c r="AU148" s="12" t="str">
        <f>IF(検体毎項目情報!C149="","",検体毎項目情報!C149)</f>
        <v/>
      </c>
      <c r="AV148" s="12" t="str">
        <f>IF(検体毎項目情報!D149="","",検体毎項目情報!D149)</f>
        <v/>
      </c>
      <c r="AW148" s="12" t="str">
        <f>IF(検体毎項目情報!E149="","",検体毎項目情報!E149)</f>
        <v/>
      </c>
      <c r="AX148" s="12" t="str">
        <f>IF(検体毎項目情報!F149="","",検体毎項目情報!F149)</f>
        <v/>
      </c>
      <c r="AY148" s="12" t="str">
        <f>IF(検体毎項目情報!G149="","",検体毎項目情報!G149)</f>
        <v/>
      </c>
      <c r="AZ148" s="12" t="str">
        <f>IF(検体毎項目情報!H149="","",検体毎項目情報!H149)</f>
        <v/>
      </c>
      <c r="BA148" s="12" t="str">
        <f>IF(検体毎項目情報!I149="","",検体毎項目情報!I149)</f>
        <v/>
      </c>
      <c r="BB148" s="12" t="str">
        <f>IF(検体毎項目情報!J149="","",検体毎項目情報!J149)</f>
        <v/>
      </c>
      <c r="BC148" s="12" t="str">
        <f>IF(検体毎項目情報!K149="","",検体毎項目情報!K149)</f>
        <v/>
      </c>
      <c r="BD148" s="12" t="str">
        <f>IF(検体毎項目情報!L149="","",検体毎項目情報!L149)</f>
        <v/>
      </c>
      <c r="BE148" s="12" t="str">
        <f>IF(検体毎項目情報!M149="","",検体毎項目情報!M149)</f>
        <v/>
      </c>
      <c r="BF148" s="12" t="str">
        <f>IF(検体毎項目情報!N149="","",検体毎項目情報!N149)</f>
        <v/>
      </c>
      <c r="BG148" s="12" t="str">
        <f>IF(検体毎項目情報!O149="","",検体毎項目情報!O149)</f>
        <v/>
      </c>
      <c r="BH148" s="12" t="str">
        <f>IF(検体毎項目情報!P149="","",検体毎項目情報!P149)</f>
        <v/>
      </c>
      <c r="BI148" s="12" t="str">
        <f>IF(検体毎項目情報!Q149="","",検体毎項目情報!Q149)</f>
        <v/>
      </c>
      <c r="BJ148" s="12" t="str">
        <f>IF(検体毎項目情報!R149="","",検体毎項目情報!R149)</f>
        <v/>
      </c>
      <c r="BK148" s="12" t="str">
        <f>IF(検体毎項目情報!S149="","",検体毎項目情報!S149)</f>
        <v/>
      </c>
      <c r="BL148" s="12" t="str">
        <f>IF(検体毎項目情報!T149="","",検体毎項目情報!T149)</f>
        <v/>
      </c>
      <c r="BM148" s="12" t="str">
        <f>IF(検体毎項目情報!U149="","",検体毎項目情報!U149)</f>
        <v/>
      </c>
      <c r="BN148" s="12" t="str">
        <f>IF(検体毎項目情報!V149="","",検体毎項目情報!V149)</f>
        <v/>
      </c>
      <c r="BO148" s="12" t="str">
        <f>IF(検体毎項目情報!W149="","",検体毎項目情報!W149)</f>
        <v/>
      </c>
      <c r="BP148" s="12" t="str">
        <f>IF(検体毎項目情報!X149="","",検体毎項目情報!X149)</f>
        <v/>
      </c>
    </row>
    <row r="149" spans="44:68">
      <c r="AR149" s="32" t="str">
        <f>IF(AS149="","",COUNTIF(費用項目一覧!A:A,判定詳細!AU149))</f>
        <v/>
      </c>
      <c r="AS149" s="12" t="str">
        <f>IF(検体毎項目情報!A150="","",検体毎項目情報!A150)</f>
        <v/>
      </c>
      <c r="AT149" s="12" t="str">
        <f>IF(検体毎項目情報!B150="","",検体毎項目情報!B150)</f>
        <v/>
      </c>
      <c r="AU149" s="12" t="str">
        <f>IF(検体毎項目情報!C150="","",検体毎項目情報!C150)</f>
        <v/>
      </c>
      <c r="AV149" s="12" t="str">
        <f>IF(検体毎項目情報!D150="","",検体毎項目情報!D150)</f>
        <v/>
      </c>
      <c r="AW149" s="12" t="str">
        <f>IF(検体毎項目情報!E150="","",検体毎項目情報!E150)</f>
        <v/>
      </c>
      <c r="AX149" s="12" t="str">
        <f>IF(検体毎項目情報!F150="","",検体毎項目情報!F150)</f>
        <v/>
      </c>
      <c r="AY149" s="12" t="str">
        <f>IF(検体毎項目情報!G150="","",検体毎項目情報!G150)</f>
        <v/>
      </c>
      <c r="AZ149" s="12" t="str">
        <f>IF(検体毎項目情報!H150="","",検体毎項目情報!H150)</f>
        <v/>
      </c>
      <c r="BA149" s="12" t="str">
        <f>IF(検体毎項目情報!I150="","",検体毎項目情報!I150)</f>
        <v/>
      </c>
      <c r="BB149" s="12" t="str">
        <f>IF(検体毎項目情報!J150="","",検体毎項目情報!J150)</f>
        <v/>
      </c>
      <c r="BC149" s="12" t="str">
        <f>IF(検体毎項目情報!K150="","",検体毎項目情報!K150)</f>
        <v/>
      </c>
      <c r="BD149" s="12" t="str">
        <f>IF(検体毎項目情報!L150="","",検体毎項目情報!L150)</f>
        <v/>
      </c>
      <c r="BE149" s="12" t="str">
        <f>IF(検体毎項目情報!M150="","",検体毎項目情報!M150)</f>
        <v/>
      </c>
      <c r="BF149" s="12" t="str">
        <f>IF(検体毎項目情報!N150="","",検体毎項目情報!N150)</f>
        <v/>
      </c>
      <c r="BG149" s="12" t="str">
        <f>IF(検体毎項目情報!O150="","",検体毎項目情報!O150)</f>
        <v/>
      </c>
      <c r="BH149" s="12" t="str">
        <f>IF(検体毎項目情報!P150="","",検体毎項目情報!P150)</f>
        <v/>
      </c>
      <c r="BI149" s="12" t="str">
        <f>IF(検体毎項目情報!Q150="","",検体毎項目情報!Q150)</f>
        <v/>
      </c>
      <c r="BJ149" s="12" t="str">
        <f>IF(検体毎項目情報!R150="","",検体毎項目情報!R150)</f>
        <v/>
      </c>
      <c r="BK149" s="12" t="str">
        <f>IF(検体毎項目情報!S150="","",検体毎項目情報!S150)</f>
        <v/>
      </c>
      <c r="BL149" s="12" t="str">
        <f>IF(検体毎項目情報!T150="","",検体毎項目情報!T150)</f>
        <v/>
      </c>
      <c r="BM149" s="12" t="str">
        <f>IF(検体毎項目情報!U150="","",検体毎項目情報!U150)</f>
        <v/>
      </c>
      <c r="BN149" s="12" t="str">
        <f>IF(検体毎項目情報!V150="","",検体毎項目情報!V150)</f>
        <v/>
      </c>
      <c r="BO149" s="12" t="str">
        <f>IF(検体毎項目情報!W150="","",検体毎項目情報!W150)</f>
        <v/>
      </c>
      <c r="BP149" s="12" t="str">
        <f>IF(検体毎項目情報!X150="","",検体毎項目情報!X150)</f>
        <v/>
      </c>
    </row>
    <row r="150" spans="44:68">
      <c r="AR150" s="32" t="str">
        <f>IF(AS150="","",COUNTIF(費用項目一覧!A:A,判定詳細!AU150))</f>
        <v/>
      </c>
      <c r="AS150" s="12" t="str">
        <f>IF(検体毎項目情報!A151="","",検体毎項目情報!A151)</f>
        <v/>
      </c>
      <c r="AT150" s="12" t="str">
        <f>IF(検体毎項目情報!B151="","",検体毎項目情報!B151)</f>
        <v/>
      </c>
      <c r="AU150" s="12" t="str">
        <f>IF(検体毎項目情報!C151="","",検体毎項目情報!C151)</f>
        <v/>
      </c>
      <c r="AV150" s="12" t="str">
        <f>IF(検体毎項目情報!D151="","",検体毎項目情報!D151)</f>
        <v/>
      </c>
      <c r="AW150" s="12" t="str">
        <f>IF(検体毎項目情報!E151="","",検体毎項目情報!E151)</f>
        <v/>
      </c>
      <c r="AX150" s="12" t="str">
        <f>IF(検体毎項目情報!F151="","",検体毎項目情報!F151)</f>
        <v/>
      </c>
      <c r="AY150" s="12" t="str">
        <f>IF(検体毎項目情報!G151="","",検体毎項目情報!G151)</f>
        <v/>
      </c>
      <c r="AZ150" s="12" t="str">
        <f>IF(検体毎項目情報!H151="","",検体毎項目情報!H151)</f>
        <v/>
      </c>
      <c r="BA150" s="12" t="str">
        <f>IF(検体毎項目情報!I151="","",検体毎項目情報!I151)</f>
        <v/>
      </c>
      <c r="BB150" s="12" t="str">
        <f>IF(検体毎項目情報!J151="","",検体毎項目情報!J151)</f>
        <v/>
      </c>
      <c r="BC150" s="12" t="str">
        <f>IF(検体毎項目情報!K151="","",検体毎項目情報!K151)</f>
        <v/>
      </c>
      <c r="BD150" s="12" t="str">
        <f>IF(検体毎項目情報!L151="","",検体毎項目情報!L151)</f>
        <v/>
      </c>
      <c r="BE150" s="12" t="str">
        <f>IF(検体毎項目情報!M151="","",検体毎項目情報!M151)</f>
        <v/>
      </c>
      <c r="BF150" s="12" t="str">
        <f>IF(検体毎項目情報!N151="","",検体毎項目情報!N151)</f>
        <v/>
      </c>
      <c r="BG150" s="12" t="str">
        <f>IF(検体毎項目情報!O151="","",検体毎項目情報!O151)</f>
        <v/>
      </c>
      <c r="BH150" s="12" t="str">
        <f>IF(検体毎項目情報!P151="","",検体毎項目情報!P151)</f>
        <v/>
      </c>
      <c r="BI150" s="12" t="str">
        <f>IF(検体毎項目情報!Q151="","",検体毎項目情報!Q151)</f>
        <v/>
      </c>
      <c r="BJ150" s="12" t="str">
        <f>IF(検体毎項目情報!R151="","",検体毎項目情報!R151)</f>
        <v/>
      </c>
      <c r="BK150" s="12" t="str">
        <f>IF(検体毎項目情報!S151="","",検体毎項目情報!S151)</f>
        <v/>
      </c>
      <c r="BL150" s="12" t="str">
        <f>IF(検体毎項目情報!T151="","",検体毎項目情報!T151)</f>
        <v/>
      </c>
      <c r="BM150" s="12" t="str">
        <f>IF(検体毎項目情報!U151="","",検体毎項目情報!U151)</f>
        <v/>
      </c>
      <c r="BN150" s="12" t="str">
        <f>IF(検体毎項目情報!V151="","",検体毎項目情報!V151)</f>
        <v/>
      </c>
      <c r="BO150" s="12" t="str">
        <f>IF(検体毎項目情報!W151="","",検体毎項目情報!W151)</f>
        <v/>
      </c>
      <c r="BP150" s="12" t="str">
        <f>IF(検体毎項目情報!X151="","",検体毎項目情報!X151)</f>
        <v/>
      </c>
    </row>
    <row r="151" spans="44:68">
      <c r="AR151" s="32" t="str">
        <f>IF(AS151="","",COUNTIF(費用項目一覧!A:A,判定詳細!AU151))</f>
        <v/>
      </c>
      <c r="AS151" s="12" t="str">
        <f>IF(検体毎項目情報!A152="","",検体毎項目情報!A152)</f>
        <v/>
      </c>
      <c r="AT151" s="12" t="str">
        <f>IF(検体毎項目情報!B152="","",検体毎項目情報!B152)</f>
        <v/>
      </c>
      <c r="AU151" s="12" t="str">
        <f>IF(検体毎項目情報!C152="","",検体毎項目情報!C152)</f>
        <v/>
      </c>
      <c r="AV151" s="12" t="str">
        <f>IF(検体毎項目情報!D152="","",検体毎項目情報!D152)</f>
        <v/>
      </c>
      <c r="AW151" s="12" t="str">
        <f>IF(検体毎項目情報!E152="","",検体毎項目情報!E152)</f>
        <v/>
      </c>
      <c r="AX151" s="12" t="str">
        <f>IF(検体毎項目情報!F152="","",検体毎項目情報!F152)</f>
        <v/>
      </c>
      <c r="AY151" s="12" t="str">
        <f>IF(検体毎項目情報!G152="","",検体毎項目情報!G152)</f>
        <v/>
      </c>
      <c r="AZ151" s="12" t="str">
        <f>IF(検体毎項目情報!H152="","",検体毎項目情報!H152)</f>
        <v/>
      </c>
      <c r="BA151" s="12" t="str">
        <f>IF(検体毎項目情報!I152="","",検体毎項目情報!I152)</f>
        <v/>
      </c>
      <c r="BB151" s="12" t="str">
        <f>IF(検体毎項目情報!J152="","",検体毎項目情報!J152)</f>
        <v/>
      </c>
      <c r="BC151" s="12" t="str">
        <f>IF(検体毎項目情報!K152="","",検体毎項目情報!K152)</f>
        <v/>
      </c>
      <c r="BD151" s="12" t="str">
        <f>IF(検体毎項目情報!L152="","",検体毎項目情報!L152)</f>
        <v/>
      </c>
      <c r="BE151" s="12" t="str">
        <f>IF(検体毎項目情報!M152="","",検体毎項目情報!M152)</f>
        <v/>
      </c>
      <c r="BF151" s="12" t="str">
        <f>IF(検体毎項目情報!N152="","",検体毎項目情報!N152)</f>
        <v/>
      </c>
      <c r="BG151" s="12" t="str">
        <f>IF(検体毎項目情報!O152="","",検体毎項目情報!O152)</f>
        <v/>
      </c>
      <c r="BH151" s="12" t="str">
        <f>IF(検体毎項目情報!P152="","",検体毎項目情報!P152)</f>
        <v/>
      </c>
      <c r="BI151" s="12" t="str">
        <f>IF(検体毎項目情報!Q152="","",検体毎項目情報!Q152)</f>
        <v/>
      </c>
      <c r="BJ151" s="12" t="str">
        <f>IF(検体毎項目情報!R152="","",検体毎項目情報!R152)</f>
        <v/>
      </c>
      <c r="BK151" s="12" t="str">
        <f>IF(検体毎項目情報!S152="","",検体毎項目情報!S152)</f>
        <v/>
      </c>
      <c r="BL151" s="12" t="str">
        <f>IF(検体毎項目情報!T152="","",検体毎項目情報!T152)</f>
        <v/>
      </c>
      <c r="BM151" s="12" t="str">
        <f>IF(検体毎項目情報!U152="","",検体毎項目情報!U152)</f>
        <v/>
      </c>
      <c r="BN151" s="12" t="str">
        <f>IF(検体毎項目情報!V152="","",検体毎項目情報!V152)</f>
        <v/>
      </c>
      <c r="BO151" s="12" t="str">
        <f>IF(検体毎項目情報!W152="","",検体毎項目情報!W152)</f>
        <v/>
      </c>
      <c r="BP151" s="12" t="str">
        <f>IF(検体毎項目情報!X152="","",検体毎項目情報!X152)</f>
        <v/>
      </c>
    </row>
    <row r="152" spans="44:68">
      <c r="AR152" s="32" t="str">
        <f>IF(AS152="","",COUNTIF(費用項目一覧!A:A,判定詳細!AU152))</f>
        <v/>
      </c>
      <c r="AS152" s="12" t="str">
        <f>IF(検体毎項目情報!A153="","",検体毎項目情報!A153)</f>
        <v/>
      </c>
      <c r="AT152" s="12" t="str">
        <f>IF(検体毎項目情報!B153="","",検体毎項目情報!B153)</f>
        <v/>
      </c>
      <c r="AU152" s="12" t="str">
        <f>IF(検体毎項目情報!C153="","",検体毎項目情報!C153)</f>
        <v/>
      </c>
      <c r="AV152" s="12" t="str">
        <f>IF(検体毎項目情報!D153="","",検体毎項目情報!D153)</f>
        <v/>
      </c>
      <c r="AW152" s="12" t="str">
        <f>IF(検体毎項目情報!E153="","",検体毎項目情報!E153)</f>
        <v/>
      </c>
      <c r="AX152" s="12" t="str">
        <f>IF(検体毎項目情報!F153="","",検体毎項目情報!F153)</f>
        <v/>
      </c>
      <c r="AY152" s="12" t="str">
        <f>IF(検体毎項目情報!G153="","",検体毎項目情報!G153)</f>
        <v/>
      </c>
      <c r="AZ152" s="12" t="str">
        <f>IF(検体毎項目情報!H153="","",検体毎項目情報!H153)</f>
        <v/>
      </c>
      <c r="BA152" s="12" t="str">
        <f>IF(検体毎項目情報!I153="","",検体毎項目情報!I153)</f>
        <v/>
      </c>
      <c r="BB152" s="12" t="str">
        <f>IF(検体毎項目情報!J153="","",検体毎項目情報!J153)</f>
        <v/>
      </c>
      <c r="BC152" s="12" t="str">
        <f>IF(検体毎項目情報!K153="","",検体毎項目情報!K153)</f>
        <v/>
      </c>
      <c r="BD152" s="12" t="str">
        <f>IF(検体毎項目情報!L153="","",検体毎項目情報!L153)</f>
        <v/>
      </c>
      <c r="BE152" s="12" t="str">
        <f>IF(検体毎項目情報!M153="","",検体毎項目情報!M153)</f>
        <v/>
      </c>
      <c r="BF152" s="12" t="str">
        <f>IF(検体毎項目情報!N153="","",検体毎項目情報!N153)</f>
        <v/>
      </c>
      <c r="BG152" s="12" t="str">
        <f>IF(検体毎項目情報!O153="","",検体毎項目情報!O153)</f>
        <v/>
      </c>
      <c r="BH152" s="12" t="str">
        <f>IF(検体毎項目情報!P153="","",検体毎項目情報!P153)</f>
        <v/>
      </c>
      <c r="BI152" s="12" t="str">
        <f>IF(検体毎項目情報!Q153="","",検体毎項目情報!Q153)</f>
        <v/>
      </c>
      <c r="BJ152" s="12" t="str">
        <f>IF(検体毎項目情報!R153="","",検体毎項目情報!R153)</f>
        <v/>
      </c>
      <c r="BK152" s="12" t="str">
        <f>IF(検体毎項目情報!S153="","",検体毎項目情報!S153)</f>
        <v/>
      </c>
      <c r="BL152" s="12" t="str">
        <f>IF(検体毎項目情報!T153="","",検体毎項目情報!T153)</f>
        <v/>
      </c>
      <c r="BM152" s="12" t="str">
        <f>IF(検体毎項目情報!U153="","",検体毎項目情報!U153)</f>
        <v/>
      </c>
      <c r="BN152" s="12" t="str">
        <f>IF(検体毎項目情報!V153="","",検体毎項目情報!V153)</f>
        <v/>
      </c>
      <c r="BO152" s="12" t="str">
        <f>IF(検体毎項目情報!W153="","",検体毎項目情報!W153)</f>
        <v/>
      </c>
      <c r="BP152" s="12" t="str">
        <f>IF(検体毎項目情報!X153="","",検体毎項目情報!X153)</f>
        <v/>
      </c>
    </row>
    <row r="153" spans="44:68">
      <c r="AR153" s="32" t="str">
        <f>IF(AS153="","",COUNTIF(費用項目一覧!A:A,判定詳細!AU153))</f>
        <v/>
      </c>
      <c r="AS153" s="12" t="str">
        <f>IF(検体毎項目情報!A154="","",検体毎項目情報!A154)</f>
        <v/>
      </c>
      <c r="AT153" s="12" t="str">
        <f>IF(検体毎項目情報!B154="","",検体毎項目情報!B154)</f>
        <v/>
      </c>
      <c r="AU153" s="12" t="str">
        <f>IF(検体毎項目情報!C154="","",検体毎項目情報!C154)</f>
        <v/>
      </c>
      <c r="AV153" s="12" t="str">
        <f>IF(検体毎項目情報!D154="","",検体毎項目情報!D154)</f>
        <v/>
      </c>
      <c r="AW153" s="12" t="str">
        <f>IF(検体毎項目情報!E154="","",検体毎項目情報!E154)</f>
        <v/>
      </c>
      <c r="AX153" s="12" t="str">
        <f>IF(検体毎項目情報!F154="","",検体毎項目情報!F154)</f>
        <v/>
      </c>
      <c r="AY153" s="12" t="str">
        <f>IF(検体毎項目情報!G154="","",検体毎項目情報!G154)</f>
        <v/>
      </c>
      <c r="AZ153" s="12" t="str">
        <f>IF(検体毎項目情報!H154="","",検体毎項目情報!H154)</f>
        <v/>
      </c>
      <c r="BA153" s="12" t="str">
        <f>IF(検体毎項目情報!I154="","",検体毎項目情報!I154)</f>
        <v/>
      </c>
      <c r="BB153" s="12" t="str">
        <f>IF(検体毎項目情報!J154="","",検体毎項目情報!J154)</f>
        <v/>
      </c>
      <c r="BC153" s="12" t="str">
        <f>IF(検体毎項目情報!K154="","",検体毎項目情報!K154)</f>
        <v/>
      </c>
      <c r="BD153" s="12" t="str">
        <f>IF(検体毎項目情報!L154="","",検体毎項目情報!L154)</f>
        <v/>
      </c>
      <c r="BE153" s="12" t="str">
        <f>IF(検体毎項目情報!M154="","",検体毎項目情報!M154)</f>
        <v/>
      </c>
      <c r="BF153" s="12" t="str">
        <f>IF(検体毎項目情報!N154="","",検体毎項目情報!N154)</f>
        <v/>
      </c>
      <c r="BG153" s="12" t="str">
        <f>IF(検体毎項目情報!O154="","",検体毎項目情報!O154)</f>
        <v/>
      </c>
      <c r="BH153" s="12" t="str">
        <f>IF(検体毎項目情報!P154="","",検体毎項目情報!P154)</f>
        <v/>
      </c>
      <c r="BI153" s="12" t="str">
        <f>IF(検体毎項目情報!Q154="","",検体毎項目情報!Q154)</f>
        <v/>
      </c>
      <c r="BJ153" s="12" t="str">
        <f>IF(検体毎項目情報!R154="","",検体毎項目情報!R154)</f>
        <v/>
      </c>
      <c r="BK153" s="12" t="str">
        <f>IF(検体毎項目情報!S154="","",検体毎項目情報!S154)</f>
        <v/>
      </c>
      <c r="BL153" s="12" t="str">
        <f>IF(検体毎項目情報!T154="","",検体毎項目情報!T154)</f>
        <v/>
      </c>
      <c r="BM153" s="12" t="str">
        <f>IF(検体毎項目情報!U154="","",検体毎項目情報!U154)</f>
        <v/>
      </c>
      <c r="BN153" s="12" t="str">
        <f>IF(検体毎項目情報!V154="","",検体毎項目情報!V154)</f>
        <v/>
      </c>
      <c r="BO153" s="12" t="str">
        <f>IF(検体毎項目情報!W154="","",検体毎項目情報!W154)</f>
        <v/>
      </c>
      <c r="BP153" s="12" t="str">
        <f>IF(検体毎項目情報!X154="","",検体毎項目情報!X154)</f>
        <v/>
      </c>
    </row>
    <row r="154" spans="44:68">
      <c r="AR154" s="32" t="str">
        <f>IF(AS154="","",COUNTIF(費用項目一覧!A:A,判定詳細!AU154))</f>
        <v/>
      </c>
      <c r="AS154" s="12" t="str">
        <f>IF(検体毎項目情報!A155="","",検体毎項目情報!A155)</f>
        <v/>
      </c>
      <c r="AT154" s="12" t="str">
        <f>IF(検体毎項目情報!B155="","",検体毎項目情報!B155)</f>
        <v/>
      </c>
      <c r="AU154" s="12" t="str">
        <f>IF(検体毎項目情報!C155="","",検体毎項目情報!C155)</f>
        <v/>
      </c>
      <c r="AV154" s="12" t="str">
        <f>IF(検体毎項目情報!D155="","",検体毎項目情報!D155)</f>
        <v/>
      </c>
      <c r="AW154" s="12" t="str">
        <f>IF(検体毎項目情報!E155="","",検体毎項目情報!E155)</f>
        <v/>
      </c>
      <c r="AX154" s="12" t="str">
        <f>IF(検体毎項目情報!F155="","",検体毎項目情報!F155)</f>
        <v/>
      </c>
      <c r="AY154" s="12" t="str">
        <f>IF(検体毎項目情報!G155="","",検体毎項目情報!G155)</f>
        <v/>
      </c>
      <c r="AZ154" s="12" t="str">
        <f>IF(検体毎項目情報!H155="","",検体毎項目情報!H155)</f>
        <v/>
      </c>
      <c r="BA154" s="12" t="str">
        <f>IF(検体毎項目情報!I155="","",検体毎項目情報!I155)</f>
        <v/>
      </c>
      <c r="BB154" s="12" t="str">
        <f>IF(検体毎項目情報!J155="","",検体毎項目情報!J155)</f>
        <v/>
      </c>
      <c r="BC154" s="12" t="str">
        <f>IF(検体毎項目情報!K155="","",検体毎項目情報!K155)</f>
        <v/>
      </c>
      <c r="BD154" s="12" t="str">
        <f>IF(検体毎項目情報!L155="","",検体毎項目情報!L155)</f>
        <v/>
      </c>
      <c r="BE154" s="12" t="str">
        <f>IF(検体毎項目情報!M155="","",検体毎項目情報!M155)</f>
        <v/>
      </c>
      <c r="BF154" s="12" t="str">
        <f>IF(検体毎項目情報!N155="","",検体毎項目情報!N155)</f>
        <v/>
      </c>
      <c r="BG154" s="12" t="str">
        <f>IF(検体毎項目情報!O155="","",検体毎項目情報!O155)</f>
        <v/>
      </c>
      <c r="BH154" s="12" t="str">
        <f>IF(検体毎項目情報!P155="","",検体毎項目情報!P155)</f>
        <v/>
      </c>
      <c r="BI154" s="12" t="str">
        <f>IF(検体毎項目情報!Q155="","",検体毎項目情報!Q155)</f>
        <v/>
      </c>
      <c r="BJ154" s="12" t="str">
        <f>IF(検体毎項目情報!R155="","",検体毎項目情報!R155)</f>
        <v/>
      </c>
      <c r="BK154" s="12" t="str">
        <f>IF(検体毎項目情報!S155="","",検体毎項目情報!S155)</f>
        <v/>
      </c>
      <c r="BL154" s="12" t="str">
        <f>IF(検体毎項目情報!T155="","",検体毎項目情報!T155)</f>
        <v/>
      </c>
      <c r="BM154" s="12" t="str">
        <f>IF(検体毎項目情報!U155="","",検体毎項目情報!U155)</f>
        <v/>
      </c>
      <c r="BN154" s="12" t="str">
        <f>IF(検体毎項目情報!V155="","",検体毎項目情報!V155)</f>
        <v/>
      </c>
      <c r="BO154" s="12" t="str">
        <f>IF(検体毎項目情報!W155="","",検体毎項目情報!W155)</f>
        <v/>
      </c>
      <c r="BP154" s="12" t="str">
        <f>IF(検体毎項目情報!X155="","",検体毎項目情報!X155)</f>
        <v/>
      </c>
    </row>
    <row r="155" spans="44:68">
      <c r="AR155" s="32" t="str">
        <f>IF(AS155="","",COUNTIF(費用項目一覧!A:A,判定詳細!AU155))</f>
        <v/>
      </c>
      <c r="AS155" s="12" t="str">
        <f>IF(検体毎項目情報!A156="","",検体毎項目情報!A156)</f>
        <v/>
      </c>
      <c r="AT155" s="12" t="str">
        <f>IF(検体毎項目情報!B156="","",検体毎項目情報!B156)</f>
        <v/>
      </c>
      <c r="AU155" s="12" t="str">
        <f>IF(検体毎項目情報!C156="","",検体毎項目情報!C156)</f>
        <v/>
      </c>
      <c r="AV155" s="12" t="str">
        <f>IF(検体毎項目情報!D156="","",検体毎項目情報!D156)</f>
        <v/>
      </c>
      <c r="AW155" s="12" t="str">
        <f>IF(検体毎項目情報!E156="","",検体毎項目情報!E156)</f>
        <v/>
      </c>
      <c r="AX155" s="12" t="str">
        <f>IF(検体毎項目情報!F156="","",検体毎項目情報!F156)</f>
        <v/>
      </c>
      <c r="AY155" s="12" t="str">
        <f>IF(検体毎項目情報!G156="","",検体毎項目情報!G156)</f>
        <v/>
      </c>
      <c r="AZ155" s="12" t="str">
        <f>IF(検体毎項目情報!H156="","",検体毎項目情報!H156)</f>
        <v/>
      </c>
      <c r="BA155" s="12" t="str">
        <f>IF(検体毎項目情報!I156="","",検体毎項目情報!I156)</f>
        <v/>
      </c>
      <c r="BB155" s="12" t="str">
        <f>IF(検体毎項目情報!J156="","",検体毎項目情報!J156)</f>
        <v/>
      </c>
      <c r="BC155" s="12" t="str">
        <f>IF(検体毎項目情報!K156="","",検体毎項目情報!K156)</f>
        <v/>
      </c>
      <c r="BD155" s="12" t="str">
        <f>IF(検体毎項目情報!L156="","",検体毎項目情報!L156)</f>
        <v/>
      </c>
      <c r="BE155" s="12" t="str">
        <f>IF(検体毎項目情報!M156="","",検体毎項目情報!M156)</f>
        <v/>
      </c>
      <c r="BF155" s="12" t="str">
        <f>IF(検体毎項目情報!N156="","",検体毎項目情報!N156)</f>
        <v/>
      </c>
      <c r="BG155" s="12" t="str">
        <f>IF(検体毎項目情報!O156="","",検体毎項目情報!O156)</f>
        <v/>
      </c>
      <c r="BH155" s="12" t="str">
        <f>IF(検体毎項目情報!P156="","",検体毎項目情報!P156)</f>
        <v/>
      </c>
      <c r="BI155" s="12" t="str">
        <f>IF(検体毎項目情報!Q156="","",検体毎項目情報!Q156)</f>
        <v/>
      </c>
      <c r="BJ155" s="12" t="str">
        <f>IF(検体毎項目情報!R156="","",検体毎項目情報!R156)</f>
        <v/>
      </c>
      <c r="BK155" s="12" t="str">
        <f>IF(検体毎項目情報!S156="","",検体毎項目情報!S156)</f>
        <v/>
      </c>
      <c r="BL155" s="12" t="str">
        <f>IF(検体毎項目情報!T156="","",検体毎項目情報!T156)</f>
        <v/>
      </c>
      <c r="BM155" s="12" t="str">
        <f>IF(検体毎項目情報!U156="","",検体毎項目情報!U156)</f>
        <v/>
      </c>
      <c r="BN155" s="12" t="str">
        <f>IF(検体毎項目情報!V156="","",検体毎項目情報!V156)</f>
        <v/>
      </c>
      <c r="BO155" s="12" t="str">
        <f>IF(検体毎項目情報!W156="","",検体毎項目情報!W156)</f>
        <v/>
      </c>
      <c r="BP155" s="12" t="str">
        <f>IF(検体毎項目情報!X156="","",検体毎項目情報!X156)</f>
        <v/>
      </c>
    </row>
    <row r="156" spans="44:68">
      <c r="AR156" s="32" t="str">
        <f>IF(AS156="","",COUNTIF(費用項目一覧!A:A,判定詳細!AU156))</f>
        <v/>
      </c>
      <c r="AS156" s="12" t="str">
        <f>IF(検体毎項目情報!A157="","",検体毎項目情報!A157)</f>
        <v/>
      </c>
      <c r="AT156" s="12" t="str">
        <f>IF(検体毎項目情報!B157="","",検体毎項目情報!B157)</f>
        <v/>
      </c>
      <c r="AU156" s="12" t="str">
        <f>IF(検体毎項目情報!C157="","",検体毎項目情報!C157)</f>
        <v/>
      </c>
      <c r="AV156" s="12" t="str">
        <f>IF(検体毎項目情報!D157="","",検体毎項目情報!D157)</f>
        <v/>
      </c>
      <c r="AW156" s="12" t="str">
        <f>IF(検体毎項目情報!E157="","",検体毎項目情報!E157)</f>
        <v/>
      </c>
      <c r="AX156" s="12" t="str">
        <f>IF(検体毎項目情報!F157="","",検体毎項目情報!F157)</f>
        <v/>
      </c>
      <c r="AY156" s="12" t="str">
        <f>IF(検体毎項目情報!G157="","",検体毎項目情報!G157)</f>
        <v/>
      </c>
      <c r="AZ156" s="12" t="str">
        <f>IF(検体毎項目情報!H157="","",検体毎項目情報!H157)</f>
        <v/>
      </c>
      <c r="BA156" s="12" t="str">
        <f>IF(検体毎項目情報!I157="","",検体毎項目情報!I157)</f>
        <v/>
      </c>
      <c r="BB156" s="12" t="str">
        <f>IF(検体毎項目情報!J157="","",検体毎項目情報!J157)</f>
        <v/>
      </c>
      <c r="BC156" s="12" t="str">
        <f>IF(検体毎項目情報!K157="","",検体毎項目情報!K157)</f>
        <v/>
      </c>
      <c r="BD156" s="12" t="str">
        <f>IF(検体毎項目情報!L157="","",検体毎項目情報!L157)</f>
        <v/>
      </c>
      <c r="BE156" s="12" t="str">
        <f>IF(検体毎項目情報!M157="","",検体毎項目情報!M157)</f>
        <v/>
      </c>
      <c r="BF156" s="12" t="str">
        <f>IF(検体毎項目情報!N157="","",検体毎項目情報!N157)</f>
        <v/>
      </c>
      <c r="BG156" s="12" t="str">
        <f>IF(検体毎項目情報!O157="","",検体毎項目情報!O157)</f>
        <v/>
      </c>
      <c r="BH156" s="12" t="str">
        <f>IF(検体毎項目情報!P157="","",検体毎項目情報!P157)</f>
        <v/>
      </c>
      <c r="BI156" s="12" t="str">
        <f>IF(検体毎項目情報!Q157="","",検体毎項目情報!Q157)</f>
        <v/>
      </c>
      <c r="BJ156" s="12" t="str">
        <f>IF(検体毎項目情報!R157="","",検体毎項目情報!R157)</f>
        <v/>
      </c>
      <c r="BK156" s="12" t="str">
        <f>IF(検体毎項目情報!S157="","",検体毎項目情報!S157)</f>
        <v/>
      </c>
      <c r="BL156" s="12" t="str">
        <f>IF(検体毎項目情報!T157="","",検体毎項目情報!T157)</f>
        <v/>
      </c>
      <c r="BM156" s="12" t="str">
        <f>IF(検体毎項目情報!U157="","",検体毎項目情報!U157)</f>
        <v/>
      </c>
      <c r="BN156" s="12" t="str">
        <f>IF(検体毎項目情報!V157="","",検体毎項目情報!V157)</f>
        <v/>
      </c>
      <c r="BO156" s="12" t="str">
        <f>IF(検体毎項目情報!W157="","",検体毎項目情報!W157)</f>
        <v/>
      </c>
      <c r="BP156" s="12" t="str">
        <f>IF(検体毎項目情報!X157="","",検体毎項目情報!X157)</f>
        <v/>
      </c>
    </row>
    <row r="157" spans="44:68">
      <c r="AR157" s="32" t="str">
        <f>IF(AS157="","",COUNTIF(費用項目一覧!A:A,判定詳細!AU157))</f>
        <v/>
      </c>
      <c r="AS157" s="12" t="str">
        <f>IF(検体毎項目情報!A158="","",検体毎項目情報!A158)</f>
        <v/>
      </c>
      <c r="AT157" s="12" t="str">
        <f>IF(検体毎項目情報!B158="","",検体毎項目情報!B158)</f>
        <v/>
      </c>
      <c r="AU157" s="12" t="str">
        <f>IF(検体毎項目情報!C158="","",検体毎項目情報!C158)</f>
        <v/>
      </c>
      <c r="AV157" s="12" t="str">
        <f>IF(検体毎項目情報!D158="","",検体毎項目情報!D158)</f>
        <v/>
      </c>
      <c r="AW157" s="12" t="str">
        <f>IF(検体毎項目情報!E158="","",検体毎項目情報!E158)</f>
        <v/>
      </c>
      <c r="AX157" s="12" t="str">
        <f>IF(検体毎項目情報!F158="","",検体毎項目情報!F158)</f>
        <v/>
      </c>
      <c r="AY157" s="12" t="str">
        <f>IF(検体毎項目情報!G158="","",検体毎項目情報!G158)</f>
        <v/>
      </c>
      <c r="AZ157" s="12" t="str">
        <f>IF(検体毎項目情報!H158="","",検体毎項目情報!H158)</f>
        <v/>
      </c>
      <c r="BA157" s="12" t="str">
        <f>IF(検体毎項目情報!I158="","",検体毎項目情報!I158)</f>
        <v/>
      </c>
      <c r="BB157" s="12" t="str">
        <f>IF(検体毎項目情報!J158="","",検体毎項目情報!J158)</f>
        <v/>
      </c>
      <c r="BC157" s="12" t="str">
        <f>IF(検体毎項目情報!K158="","",検体毎項目情報!K158)</f>
        <v/>
      </c>
      <c r="BD157" s="12" t="str">
        <f>IF(検体毎項目情報!L158="","",検体毎項目情報!L158)</f>
        <v/>
      </c>
      <c r="BE157" s="12" t="str">
        <f>IF(検体毎項目情報!M158="","",検体毎項目情報!M158)</f>
        <v/>
      </c>
      <c r="BF157" s="12" t="str">
        <f>IF(検体毎項目情報!N158="","",検体毎項目情報!N158)</f>
        <v/>
      </c>
      <c r="BG157" s="12" t="str">
        <f>IF(検体毎項目情報!O158="","",検体毎項目情報!O158)</f>
        <v/>
      </c>
      <c r="BH157" s="12" t="str">
        <f>IF(検体毎項目情報!P158="","",検体毎項目情報!P158)</f>
        <v/>
      </c>
      <c r="BI157" s="12" t="str">
        <f>IF(検体毎項目情報!Q158="","",検体毎項目情報!Q158)</f>
        <v/>
      </c>
      <c r="BJ157" s="12" t="str">
        <f>IF(検体毎項目情報!R158="","",検体毎項目情報!R158)</f>
        <v/>
      </c>
      <c r="BK157" s="12" t="str">
        <f>IF(検体毎項目情報!S158="","",検体毎項目情報!S158)</f>
        <v/>
      </c>
      <c r="BL157" s="12" t="str">
        <f>IF(検体毎項目情報!T158="","",検体毎項目情報!T158)</f>
        <v/>
      </c>
      <c r="BM157" s="12" t="str">
        <f>IF(検体毎項目情報!U158="","",検体毎項目情報!U158)</f>
        <v/>
      </c>
      <c r="BN157" s="12" t="str">
        <f>IF(検体毎項目情報!V158="","",検体毎項目情報!V158)</f>
        <v/>
      </c>
      <c r="BO157" s="12" t="str">
        <f>IF(検体毎項目情報!W158="","",検体毎項目情報!W158)</f>
        <v/>
      </c>
      <c r="BP157" s="12" t="str">
        <f>IF(検体毎項目情報!X158="","",検体毎項目情報!X158)</f>
        <v/>
      </c>
    </row>
    <row r="158" spans="44:68">
      <c r="AR158" s="32" t="str">
        <f>IF(AS158="","",COUNTIF(費用項目一覧!A:A,判定詳細!AU158))</f>
        <v/>
      </c>
      <c r="AS158" s="12" t="str">
        <f>IF(検体毎項目情報!A159="","",検体毎項目情報!A159)</f>
        <v/>
      </c>
      <c r="AT158" s="12" t="str">
        <f>IF(検体毎項目情報!B159="","",検体毎項目情報!B159)</f>
        <v/>
      </c>
      <c r="AU158" s="12" t="str">
        <f>IF(検体毎項目情報!C159="","",検体毎項目情報!C159)</f>
        <v/>
      </c>
      <c r="AV158" s="12" t="str">
        <f>IF(検体毎項目情報!D159="","",検体毎項目情報!D159)</f>
        <v/>
      </c>
      <c r="AW158" s="12" t="str">
        <f>IF(検体毎項目情報!E159="","",検体毎項目情報!E159)</f>
        <v/>
      </c>
      <c r="AX158" s="12" t="str">
        <f>IF(検体毎項目情報!F159="","",検体毎項目情報!F159)</f>
        <v/>
      </c>
      <c r="AY158" s="12" t="str">
        <f>IF(検体毎項目情報!G159="","",検体毎項目情報!G159)</f>
        <v/>
      </c>
      <c r="AZ158" s="12" t="str">
        <f>IF(検体毎項目情報!H159="","",検体毎項目情報!H159)</f>
        <v/>
      </c>
      <c r="BA158" s="12" t="str">
        <f>IF(検体毎項目情報!I159="","",検体毎項目情報!I159)</f>
        <v/>
      </c>
      <c r="BB158" s="12" t="str">
        <f>IF(検体毎項目情報!J159="","",検体毎項目情報!J159)</f>
        <v/>
      </c>
      <c r="BC158" s="12" t="str">
        <f>IF(検体毎項目情報!K159="","",検体毎項目情報!K159)</f>
        <v/>
      </c>
      <c r="BD158" s="12" t="str">
        <f>IF(検体毎項目情報!L159="","",検体毎項目情報!L159)</f>
        <v/>
      </c>
      <c r="BE158" s="12" t="str">
        <f>IF(検体毎項目情報!M159="","",検体毎項目情報!M159)</f>
        <v/>
      </c>
      <c r="BF158" s="12" t="str">
        <f>IF(検体毎項目情報!N159="","",検体毎項目情報!N159)</f>
        <v/>
      </c>
      <c r="BG158" s="12" t="str">
        <f>IF(検体毎項目情報!O159="","",検体毎項目情報!O159)</f>
        <v/>
      </c>
      <c r="BH158" s="12" t="str">
        <f>IF(検体毎項目情報!P159="","",検体毎項目情報!P159)</f>
        <v/>
      </c>
      <c r="BI158" s="12" t="str">
        <f>IF(検体毎項目情報!Q159="","",検体毎項目情報!Q159)</f>
        <v/>
      </c>
      <c r="BJ158" s="12" t="str">
        <f>IF(検体毎項目情報!R159="","",検体毎項目情報!R159)</f>
        <v/>
      </c>
      <c r="BK158" s="12" t="str">
        <f>IF(検体毎項目情報!S159="","",検体毎項目情報!S159)</f>
        <v/>
      </c>
      <c r="BL158" s="12" t="str">
        <f>IF(検体毎項目情報!T159="","",検体毎項目情報!T159)</f>
        <v/>
      </c>
      <c r="BM158" s="12" t="str">
        <f>IF(検体毎項目情報!U159="","",検体毎項目情報!U159)</f>
        <v/>
      </c>
      <c r="BN158" s="12" t="str">
        <f>IF(検体毎項目情報!V159="","",検体毎項目情報!V159)</f>
        <v/>
      </c>
      <c r="BO158" s="12" t="str">
        <f>IF(検体毎項目情報!W159="","",検体毎項目情報!W159)</f>
        <v/>
      </c>
      <c r="BP158" s="12" t="str">
        <f>IF(検体毎項目情報!X159="","",検体毎項目情報!X159)</f>
        <v/>
      </c>
    </row>
    <row r="159" spans="44:68">
      <c r="AR159" s="32" t="str">
        <f>IF(AS159="","",COUNTIF(費用項目一覧!A:A,判定詳細!AU159))</f>
        <v/>
      </c>
      <c r="AS159" s="12" t="str">
        <f>IF(検体毎項目情報!A160="","",検体毎項目情報!A160)</f>
        <v/>
      </c>
      <c r="AT159" s="12" t="str">
        <f>IF(検体毎項目情報!B160="","",検体毎項目情報!B160)</f>
        <v/>
      </c>
      <c r="AU159" s="12" t="str">
        <f>IF(検体毎項目情報!C160="","",検体毎項目情報!C160)</f>
        <v/>
      </c>
      <c r="AV159" s="12" t="str">
        <f>IF(検体毎項目情報!D160="","",検体毎項目情報!D160)</f>
        <v/>
      </c>
      <c r="AW159" s="12" t="str">
        <f>IF(検体毎項目情報!E160="","",検体毎項目情報!E160)</f>
        <v/>
      </c>
      <c r="AX159" s="12" t="str">
        <f>IF(検体毎項目情報!F160="","",検体毎項目情報!F160)</f>
        <v/>
      </c>
      <c r="AY159" s="12" t="str">
        <f>IF(検体毎項目情報!G160="","",検体毎項目情報!G160)</f>
        <v/>
      </c>
      <c r="AZ159" s="12" t="str">
        <f>IF(検体毎項目情報!H160="","",検体毎項目情報!H160)</f>
        <v/>
      </c>
      <c r="BA159" s="12" t="str">
        <f>IF(検体毎項目情報!I160="","",検体毎項目情報!I160)</f>
        <v/>
      </c>
      <c r="BB159" s="12" t="str">
        <f>IF(検体毎項目情報!J160="","",検体毎項目情報!J160)</f>
        <v/>
      </c>
      <c r="BC159" s="12" t="str">
        <f>IF(検体毎項目情報!K160="","",検体毎項目情報!K160)</f>
        <v/>
      </c>
      <c r="BD159" s="12" t="str">
        <f>IF(検体毎項目情報!L160="","",検体毎項目情報!L160)</f>
        <v/>
      </c>
      <c r="BE159" s="12" t="str">
        <f>IF(検体毎項目情報!M160="","",検体毎項目情報!M160)</f>
        <v/>
      </c>
      <c r="BF159" s="12" t="str">
        <f>IF(検体毎項目情報!N160="","",検体毎項目情報!N160)</f>
        <v/>
      </c>
      <c r="BG159" s="12" t="str">
        <f>IF(検体毎項目情報!O160="","",検体毎項目情報!O160)</f>
        <v/>
      </c>
      <c r="BH159" s="12" t="str">
        <f>IF(検体毎項目情報!P160="","",検体毎項目情報!P160)</f>
        <v/>
      </c>
      <c r="BI159" s="12" t="str">
        <f>IF(検体毎項目情報!Q160="","",検体毎項目情報!Q160)</f>
        <v/>
      </c>
      <c r="BJ159" s="12" t="str">
        <f>IF(検体毎項目情報!R160="","",検体毎項目情報!R160)</f>
        <v/>
      </c>
      <c r="BK159" s="12" t="str">
        <f>IF(検体毎項目情報!S160="","",検体毎項目情報!S160)</f>
        <v/>
      </c>
      <c r="BL159" s="12" t="str">
        <f>IF(検体毎項目情報!T160="","",検体毎項目情報!T160)</f>
        <v/>
      </c>
      <c r="BM159" s="12" t="str">
        <f>IF(検体毎項目情報!U160="","",検体毎項目情報!U160)</f>
        <v/>
      </c>
      <c r="BN159" s="12" t="str">
        <f>IF(検体毎項目情報!V160="","",検体毎項目情報!V160)</f>
        <v/>
      </c>
      <c r="BO159" s="12" t="str">
        <f>IF(検体毎項目情報!W160="","",検体毎項目情報!W160)</f>
        <v/>
      </c>
      <c r="BP159" s="12" t="str">
        <f>IF(検体毎項目情報!X160="","",検体毎項目情報!X160)</f>
        <v/>
      </c>
    </row>
    <row r="160" spans="44:68">
      <c r="AR160" s="32" t="str">
        <f>IF(AS160="","",COUNTIF(費用項目一覧!A:A,判定詳細!AU160))</f>
        <v/>
      </c>
      <c r="AS160" s="12" t="str">
        <f>IF(検体毎項目情報!A161="","",検体毎項目情報!A161)</f>
        <v/>
      </c>
      <c r="AT160" s="12" t="str">
        <f>IF(検体毎項目情報!B161="","",検体毎項目情報!B161)</f>
        <v/>
      </c>
      <c r="AU160" s="12" t="str">
        <f>IF(検体毎項目情報!C161="","",検体毎項目情報!C161)</f>
        <v/>
      </c>
      <c r="AV160" s="12" t="str">
        <f>IF(検体毎項目情報!D161="","",検体毎項目情報!D161)</f>
        <v/>
      </c>
      <c r="AW160" s="12" t="str">
        <f>IF(検体毎項目情報!E161="","",検体毎項目情報!E161)</f>
        <v/>
      </c>
      <c r="AX160" s="12" t="str">
        <f>IF(検体毎項目情報!F161="","",検体毎項目情報!F161)</f>
        <v/>
      </c>
      <c r="AY160" s="12" t="str">
        <f>IF(検体毎項目情報!G161="","",検体毎項目情報!G161)</f>
        <v/>
      </c>
      <c r="AZ160" s="12" t="str">
        <f>IF(検体毎項目情報!H161="","",検体毎項目情報!H161)</f>
        <v/>
      </c>
      <c r="BA160" s="12" t="str">
        <f>IF(検体毎項目情報!I161="","",検体毎項目情報!I161)</f>
        <v/>
      </c>
      <c r="BB160" s="12" t="str">
        <f>IF(検体毎項目情報!J161="","",検体毎項目情報!J161)</f>
        <v/>
      </c>
      <c r="BC160" s="12" t="str">
        <f>IF(検体毎項目情報!K161="","",検体毎項目情報!K161)</f>
        <v/>
      </c>
      <c r="BD160" s="12" t="str">
        <f>IF(検体毎項目情報!L161="","",検体毎項目情報!L161)</f>
        <v/>
      </c>
      <c r="BE160" s="12" t="str">
        <f>IF(検体毎項目情報!M161="","",検体毎項目情報!M161)</f>
        <v/>
      </c>
      <c r="BF160" s="12" t="str">
        <f>IF(検体毎項目情報!N161="","",検体毎項目情報!N161)</f>
        <v/>
      </c>
      <c r="BG160" s="12" t="str">
        <f>IF(検体毎項目情報!O161="","",検体毎項目情報!O161)</f>
        <v/>
      </c>
      <c r="BH160" s="12" t="str">
        <f>IF(検体毎項目情報!P161="","",検体毎項目情報!P161)</f>
        <v/>
      </c>
      <c r="BI160" s="12" t="str">
        <f>IF(検体毎項目情報!Q161="","",検体毎項目情報!Q161)</f>
        <v/>
      </c>
      <c r="BJ160" s="12" t="str">
        <f>IF(検体毎項目情報!R161="","",検体毎項目情報!R161)</f>
        <v/>
      </c>
      <c r="BK160" s="12" t="str">
        <f>IF(検体毎項目情報!S161="","",検体毎項目情報!S161)</f>
        <v/>
      </c>
      <c r="BL160" s="12" t="str">
        <f>IF(検体毎項目情報!T161="","",検体毎項目情報!T161)</f>
        <v/>
      </c>
      <c r="BM160" s="12" t="str">
        <f>IF(検体毎項目情報!U161="","",検体毎項目情報!U161)</f>
        <v/>
      </c>
      <c r="BN160" s="12" t="str">
        <f>IF(検体毎項目情報!V161="","",検体毎項目情報!V161)</f>
        <v/>
      </c>
      <c r="BO160" s="12" t="str">
        <f>IF(検体毎項目情報!W161="","",検体毎項目情報!W161)</f>
        <v/>
      </c>
      <c r="BP160" s="12" t="str">
        <f>IF(検体毎項目情報!X161="","",検体毎項目情報!X161)</f>
        <v/>
      </c>
    </row>
    <row r="161" spans="44:68">
      <c r="AR161" s="32" t="str">
        <f>IF(AS161="","",COUNTIF(費用項目一覧!A:A,判定詳細!AU161))</f>
        <v/>
      </c>
      <c r="AS161" s="12" t="str">
        <f>IF(検体毎項目情報!A162="","",検体毎項目情報!A162)</f>
        <v/>
      </c>
      <c r="AT161" s="12" t="str">
        <f>IF(検体毎項目情報!B162="","",検体毎項目情報!B162)</f>
        <v/>
      </c>
      <c r="AU161" s="12" t="str">
        <f>IF(検体毎項目情報!C162="","",検体毎項目情報!C162)</f>
        <v/>
      </c>
      <c r="AV161" s="12" t="str">
        <f>IF(検体毎項目情報!D162="","",検体毎項目情報!D162)</f>
        <v/>
      </c>
      <c r="AW161" s="12" t="str">
        <f>IF(検体毎項目情報!E162="","",検体毎項目情報!E162)</f>
        <v/>
      </c>
      <c r="AX161" s="12" t="str">
        <f>IF(検体毎項目情報!F162="","",検体毎項目情報!F162)</f>
        <v/>
      </c>
      <c r="AY161" s="12" t="str">
        <f>IF(検体毎項目情報!G162="","",検体毎項目情報!G162)</f>
        <v/>
      </c>
      <c r="AZ161" s="12" t="str">
        <f>IF(検体毎項目情報!H162="","",検体毎項目情報!H162)</f>
        <v/>
      </c>
      <c r="BA161" s="12" t="str">
        <f>IF(検体毎項目情報!I162="","",検体毎項目情報!I162)</f>
        <v/>
      </c>
      <c r="BB161" s="12" t="str">
        <f>IF(検体毎項目情報!J162="","",検体毎項目情報!J162)</f>
        <v/>
      </c>
      <c r="BC161" s="12" t="str">
        <f>IF(検体毎項目情報!K162="","",検体毎項目情報!K162)</f>
        <v/>
      </c>
      <c r="BD161" s="12" t="str">
        <f>IF(検体毎項目情報!L162="","",検体毎項目情報!L162)</f>
        <v/>
      </c>
      <c r="BE161" s="12" t="str">
        <f>IF(検体毎項目情報!M162="","",検体毎項目情報!M162)</f>
        <v/>
      </c>
      <c r="BF161" s="12" t="str">
        <f>IF(検体毎項目情報!N162="","",検体毎項目情報!N162)</f>
        <v/>
      </c>
      <c r="BG161" s="12" t="str">
        <f>IF(検体毎項目情報!O162="","",検体毎項目情報!O162)</f>
        <v/>
      </c>
      <c r="BH161" s="12" t="str">
        <f>IF(検体毎項目情報!P162="","",検体毎項目情報!P162)</f>
        <v/>
      </c>
      <c r="BI161" s="12" t="str">
        <f>IF(検体毎項目情報!Q162="","",検体毎項目情報!Q162)</f>
        <v/>
      </c>
      <c r="BJ161" s="12" t="str">
        <f>IF(検体毎項目情報!R162="","",検体毎項目情報!R162)</f>
        <v/>
      </c>
      <c r="BK161" s="12" t="str">
        <f>IF(検体毎項目情報!S162="","",検体毎項目情報!S162)</f>
        <v/>
      </c>
      <c r="BL161" s="12" t="str">
        <f>IF(検体毎項目情報!T162="","",検体毎項目情報!T162)</f>
        <v/>
      </c>
      <c r="BM161" s="12" t="str">
        <f>IF(検体毎項目情報!U162="","",検体毎項目情報!U162)</f>
        <v/>
      </c>
      <c r="BN161" s="12" t="str">
        <f>IF(検体毎項目情報!V162="","",検体毎項目情報!V162)</f>
        <v/>
      </c>
      <c r="BO161" s="12" t="str">
        <f>IF(検体毎項目情報!W162="","",検体毎項目情報!W162)</f>
        <v/>
      </c>
      <c r="BP161" s="12" t="str">
        <f>IF(検体毎項目情報!X162="","",検体毎項目情報!X162)</f>
        <v/>
      </c>
    </row>
    <row r="162" spans="44:68">
      <c r="AR162" s="32" t="str">
        <f>IF(AS162="","",COUNTIF(費用項目一覧!A:A,判定詳細!AU162))</f>
        <v/>
      </c>
      <c r="AS162" s="12" t="str">
        <f>IF(検体毎項目情報!A163="","",検体毎項目情報!A163)</f>
        <v/>
      </c>
      <c r="AT162" s="12" t="str">
        <f>IF(検体毎項目情報!B163="","",検体毎項目情報!B163)</f>
        <v/>
      </c>
      <c r="AU162" s="12" t="str">
        <f>IF(検体毎項目情報!C163="","",検体毎項目情報!C163)</f>
        <v/>
      </c>
      <c r="AV162" s="12" t="str">
        <f>IF(検体毎項目情報!D163="","",検体毎項目情報!D163)</f>
        <v/>
      </c>
      <c r="AW162" s="12" t="str">
        <f>IF(検体毎項目情報!E163="","",検体毎項目情報!E163)</f>
        <v/>
      </c>
      <c r="AX162" s="12" t="str">
        <f>IF(検体毎項目情報!F163="","",検体毎項目情報!F163)</f>
        <v/>
      </c>
      <c r="AY162" s="12" t="str">
        <f>IF(検体毎項目情報!G163="","",検体毎項目情報!G163)</f>
        <v/>
      </c>
      <c r="AZ162" s="12" t="str">
        <f>IF(検体毎項目情報!H163="","",検体毎項目情報!H163)</f>
        <v/>
      </c>
      <c r="BA162" s="12" t="str">
        <f>IF(検体毎項目情報!I163="","",検体毎項目情報!I163)</f>
        <v/>
      </c>
      <c r="BB162" s="12" t="str">
        <f>IF(検体毎項目情報!J163="","",検体毎項目情報!J163)</f>
        <v/>
      </c>
      <c r="BC162" s="12" t="str">
        <f>IF(検体毎項目情報!K163="","",検体毎項目情報!K163)</f>
        <v/>
      </c>
      <c r="BD162" s="12" t="str">
        <f>IF(検体毎項目情報!L163="","",検体毎項目情報!L163)</f>
        <v/>
      </c>
      <c r="BE162" s="12" t="str">
        <f>IF(検体毎項目情報!M163="","",検体毎項目情報!M163)</f>
        <v/>
      </c>
      <c r="BF162" s="12" t="str">
        <f>IF(検体毎項目情報!N163="","",検体毎項目情報!N163)</f>
        <v/>
      </c>
      <c r="BG162" s="12" t="str">
        <f>IF(検体毎項目情報!O163="","",検体毎項目情報!O163)</f>
        <v/>
      </c>
      <c r="BH162" s="12" t="str">
        <f>IF(検体毎項目情報!P163="","",検体毎項目情報!P163)</f>
        <v/>
      </c>
      <c r="BI162" s="12" t="str">
        <f>IF(検体毎項目情報!Q163="","",検体毎項目情報!Q163)</f>
        <v/>
      </c>
      <c r="BJ162" s="12" t="str">
        <f>IF(検体毎項目情報!R163="","",検体毎項目情報!R163)</f>
        <v/>
      </c>
      <c r="BK162" s="12" t="str">
        <f>IF(検体毎項目情報!S163="","",検体毎項目情報!S163)</f>
        <v/>
      </c>
      <c r="BL162" s="12" t="str">
        <f>IF(検体毎項目情報!T163="","",検体毎項目情報!T163)</f>
        <v/>
      </c>
      <c r="BM162" s="12" t="str">
        <f>IF(検体毎項目情報!U163="","",検体毎項目情報!U163)</f>
        <v/>
      </c>
      <c r="BN162" s="12" t="str">
        <f>IF(検体毎項目情報!V163="","",検体毎項目情報!V163)</f>
        <v/>
      </c>
      <c r="BO162" s="12" t="str">
        <f>IF(検体毎項目情報!W163="","",検体毎項目情報!W163)</f>
        <v/>
      </c>
      <c r="BP162" s="12" t="str">
        <f>IF(検体毎項目情報!X163="","",検体毎項目情報!X163)</f>
        <v/>
      </c>
    </row>
    <row r="163" spans="44:68">
      <c r="AR163" s="32" t="str">
        <f>IF(AS163="","",COUNTIF(費用項目一覧!A:A,判定詳細!AU163))</f>
        <v/>
      </c>
      <c r="AS163" s="12" t="str">
        <f>IF(検体毎項目情報!A164="","",検体毎項目情報!A164)</f>
        <v/>
      </c>
      <c r="AT163" s="12" t="str">
        <f>IF(検体毎項目情報!B164="","",検体毎項目情報!B164)</f>
        <v/>
      </c>
      <c r="AU163" s="12" t="str">
        <f>IF(検体毎項目情報!C164="","",検体毎項目情報!C164)</f>
        <v/>
      </c>
      <c r="AV163" s="12" t="str">
        <f>IF(検体毎項目情報!D164="","",検体毎項目情報!D164)</f>
        <v/>
      </c>
      <c r="AW163" s="12" t="str">
        <f>IF(検体毎項目情報!E164="","",検体毎項目情報!E164)</f>
        <v/>
      </c>
      <c r="AX163" s="12" t="str">
        <f>IF(検体毎項目情報!F164="","",検体毎項目情報!F164)</f>
        <v/>
      </c>
      <c r="AY163" s="12" t="str">
        <f>IF(検体毎項目情報!G164="","",検体毎項目情報!G164)</f>
        <v/>
      </c>
      <c r="AZ163" s="12" t="str">
        <f>IF(検体毎項目情報!H164="","",検体毎項目情報!H164)</f>
        <v/>
      </c>
      <c r="BA163" s="12" t="str">
        <f>IF(検体毎項目情報!I164="","",検体毎項目情報!I164)</f>
        <v/>
      </c>
      <c r="BB163" s="12" t="str">
        <f>IF(検体毎項目情報!J164="","",検体毎項目情報!J164)</f>
        <v/>
      </c>
      <c r="BC163" s="12" t="str">
        <f>IF(検体毎項目情報!K164="","",検体毎項目情報!K164)</f>
        <v/>
      </c>
      <c r="BD163" s="12" t="str">
        <f>IF(検体毎項目情報!L164="","",検体毎項目情報!L164)</f>
        <v/>
      </c>
      <c r="BE163" s="12" t="str">
        <f>IF(検体毎項目情報!M164="","",検体毎項目情報!M164)</f>
        <v/>
      </c>
      <c r="BF163" s="12" t="str">
        <f>IF(検体毎項目情報!N164="","",検体毎項目情報!N164)</f>
        <v/>
      </c>
      <c r="BG163" s="12" t="str">
        <f>IF(検体毎項目情報!O164="","",検体毎項目情報!O164)</f>
        <v/>
      </c>
      <c r="BH163" s="12" t="str">
        <f>IF(検体毎項目情報!P164="","",検体毎項目情報!P164)</f>
        <v/>
      </c>
      <c r="BI163" s="12" t="str">
        <f>IF(検体毎項目情報!Q164="","",検体毎項目情報!Q164)</f>
        <v/>
      </c>
      <c r="BJ163" s="12" t="str">
        <f>IF(検体毎項目情報!R164="","",検体毎項目情報!R164)</f>
        <v/>
      </c>
      <c r="BK163" s="12" t="str">
        <f>IF(検体毎項目情報!S164="","",検体毎項目情報!S164)</f>
        <v/>
      </c>
      <c r="BL163" s="12" t="str">
        <f>IF(検体毎項目情報!T164="","",検体毎項目情報!T164)</f>
        <v/>
      </c>
      <c r="BM163" s="12" t="str">
        <f>IF(検体毎項目情報!U164="","",検体毎項目情報!U164)</f>
        <v/>
      </c>
      <c r="BN163" s="12" t="str">
        <f>IF(検体毎項目情報!V164="","",検体毎項目情報!V164)</f>
        <v/>
      </c>
      <c r="BO163" s="12" t="str">
        <f>IF(検体毎項目情報!W164="","",検体毎項目情報!W164)</f>
        <v/>
      </c>
      <c r="BP163" s="12" t="str">
        <f>IF(検体毎項目情報!X164="","",検体毎項目情報!X164)</f>
        <v/>
      </c>
    </row>
    <row r="164" spans="44:68">
      <c r="AR164" s="32" t="str">
        <f>IF(AS164="","",COUNTIF(費用項目一覧!A:A,判定詳細!AU164))</f>
        <v/>
      </c>
      <c r="AS164" s="12" t="str">
        <f>IF(検体毎項目情報!A165="","",検体毎項目情報!A165)</f>
        <v/>
      </c>
      <c r="AT164" s="12" t="str">
        <f>IF(検体毎項目情報!B165="","",検体毎項目情報!B165)</f>
        <v/>
      </c>
      <c r="AU164" s="12" t="str">
        <f>IF(検体毎項目情報!C165="","",検体毎項目情報!C165)</f>
        <v/>
      </c>
      <c r="AV164" s="12" t="str">
        <f>IF(検体毎項目情報!D165="","",検体毎項目情報!D165)</f>
        <v/>
      </c>
      <c r="AW164" s="12" t="str">
        <f>IF(検体毎項目情報!E165="","",検体毎項目情報!E165)</f>
        <v/>
      </c>
      <c r="AX164" s="12" t="str">
        <f>IF(検体毎項目情報!F165="","",検体毎項目情報!F165)</f>
        <v/>
      </c>
      <c r="AY164" s="12" t="str">
        <f>IF(検体毎項目情報!G165="","",検体毎項目情報!G165)</f>
        <v/>
      </c>
      <c r="AZ164" s="12" t="str">
        <f>IF(検体毎項目情報!H165="","",検体毎項目情報!H165)</f>
        <v/>
      </c>
      <c r="BA164" s="12" t="str">
        <f>IF(検体毎項目情報!I165="","",検体毎項目情報!I165)</f>
        <v/>
      </c>
      <c r="BB164" s="12" t="str">
        <f>IF(検体毎項目情報!J165="","",検体毎項目情報!J165)</f>
        <v/>
      </c>
      <c r="BC164" s="12" t="str">
        <f>IF(検体毎項目情報!K165="","",検体毎項目情報!K165)</f>
        <v/>
      </c>
      <c r="BD164" s="12" t="str">
        <f>IF(検体毎項目情報!L165="","",検体毎項目情報!L165)</f>
        <v/>
      </c>
      <c r="BE164" s="12" t="str">
        <f>IF(検体毎項目情報!M165="","",検体毎項目情報!M165)</f>
        <v/>
      </c>
      <c r="BF164" s="12" t="str">
        <f>IF(検体毎項目情報!N165="","",検体毎項目情報!N165)</f>
        <v/>
      </c>
      <c r="BG164" s="12" t="str">
        <f>IF(検体毎項目情報!O165="","",検体毎項目情報!O165)</f>
        <v/>
      </c>
      <c r="BH164" s="12" t="str">
        <f>IF(検体毎項目情報!P165="","",検体毎項目情報!P165)</f>
        <v/>
      </c>
      <c r="BI164" s="12" t="str">
        <f>IF(検体毎項目情報!Q165="","",検体毎項目情報!Q165)</f>
        <v/>
      </c>
      <c r="BJ164" s="12" t="str">
        <f>IF(検体毎項目情報!R165="","",検体毎項目情報!R165)</f>
        <v/>
      </c>
      <c r="BK164" s="12" t="str">
        <f>IF(検体毎項目情報!S165="","",検体毎項目情報!S165)</f>
        <v/>
      </c>
      <c r="BL164" s="12" t="str">
        <f>IF(検体毎項目情報!T165="","",検体毎項目情報!T165)</f>
        <v/>
      </c>
      <c r="BM164" s="12" t="str">
        <f>IF(検体毎項目情報!U165="","",検体毎項目情報!U165)</f>
        <v/>
      </c>
      <c r="BN164" s="12" t="str">
        <f>IF(検体毎項目情報!V165="","",検体毎項目情報!V165)</f>
        <v/>
      </c>
      <c r="BO164" s="12" t="str">
        <f>IF(検体毎項目情報!W165="","",検体毎項目情報!W165)</f>
        <v/>
      </c>
      <c r="BP164" s="12" t="str">
        <f>IF(検体毎項目情報!X165="","",検体毎項目情報!X165)</f>
        <v/>
      </c>
    </row>
    <row r="165" spans="44:68">
      <c r="AR165" s="32" t="str">
        <f>IF(AS165="","",COUNTIF(費用項目一覧!A:A,判定詳細!AU165))</f>
        <v/>
      </c>
      <c r="AS165" s="12" t="str">
        <f>IF(検体毎項目情報!A166="","",検体毎項目情報!A166)</f>
        <v/>
      </c>
      <c r="AT165" s="12" t="str">
        <f>IF(検体毎項目情報!B166="","",検体毎項目情報!B166)</f>
        <v/>
      </c>
      <c r="AU165" s="12" t="str">
        <f>IF(検体毎項目情報!C166="","",検体毎項目情報!C166)</f>
        <v/>
      </c>
      <c r="AV165" s="12" t="str">
        <f>IF(検体毎項目情報!D166="","",検体毎項目情報!D166)</f>
        <v/>
      </c>
      <c r="AW165" s="12" t="str">
        <f>IF(検体毎項目情報!E166="","",検体毎項目情報!E166)</f>
        <v/>
      </c>
      <c r="AX165" s="12" t="str">
        <f>IF(検体毎項目情報!F166="","",検体毎項目情報!F166)</f>
        <v/>
      </c>
      <c r="AY165" s="12" t="str">
        <f>IF(検体毎項目情報!G166="","",検体毎項目情報!G166)</f>
        <v/>
      </c>
      <c r="AZ165" s="12" t="str">
        <f>IF(検体毎項目情報!H166="","",検体毎項目情報!H166)</f>
        <v/>
      </c>
      <c r="BA165" s="12" t="str">
        <f>IF(検体毎項目情報!I166="","",検体毎項目情報!I166)</f>
        <v/>
      </c>
      <c r="BB165" s="12" t="str">
        <f>IF(検体毎項目情報!J166="","",検体毎項目情報!J166)</f>
        <v/>
      </c>
      <c r="BC165" s="12" t="str">
        <f>IF(検体毎項目情報!K166="","",検体毎項目情報!K166)</f>
        <v/>
      </c>
      <c r="BD165" s="12" t="str">
        <f>IF(検体毎項目情報!L166="","",検体毎項目情報!L166)</f>
        <v/>
      </c>
      <c r="BE165" s="12" t="str">
        <f>IF(検体毎項目情報!M166="","",検体毎項目情報!M166)</f>
        <v/>
      </c>
      <c r="BF165" s="12" t="str">
        <f>IF(検体毎項目情報!N166="","",検体毎項目情報!N166)</f>
        <v/>
      </c>
      <c r="BG165" s="12" t="str">
        <f>IF(検体毎項目情報!O166="","",検体毎項目情報!O166)</f>
        <v/>
      </c>
      <c r="BH165" s="12" t="str">
        <f>IF(検体毎項目情報!P166="","",検体毎項目情報!P166)</f>
        <v/>
      </c>
      <c r="BI165" s="12" t="str">
        <f>IF(検体毎項目情報!Q166="","",検体毎項目情報!Q166)</f>
        <v/>
      </c>
      <c r="BJ165" s="12" t="str">
        <f>IF(検体毎項目情報!R166="","",検体毎項目情報!R166)</f>
        <v/>
      </c>
      <c r="BK165" s="12" t="str">
        <f>IF(検体毎項目情報!S166="","",検体毎項目情報!S166)</f>
        <v/>
      </c>
      <c r="BL165" s="12" t="str">
        <f>IF(検体毎項目情報!T166="","",検体毎項目情報!T166)</f>
        <v/>
      </c>
      <c r="BM165" s="12" t="str">
        <f>IF(検体毎項目情報!U166="","",検体毎項目情報!U166)</f>
        <v/>
      </c>
      <c r="BN165" s="12" t="str">
        <f>IF(検体毎項目情報!V166="","",検体毎項目情報!V166)</f>
        <v/>
      </c>
      <c r="BO165" s="12" t="str">
        <f>IF(検体毎項目情報!W166="","",検体毎項目情報!W166)</f>
        <v/>
      </c>
      <c r="BP165" s="12" t="str">
        <f>IF(検体毎項目情報!X166="","",検体毎項目情報!X166)</f>
        <v/>
      </c>
    </row>
    <row r="166" spans="44:68">
      <c r="AR166" s="32" t="str">
        <f>IF(AS166="","",COUNTIF(費用項目一覧!A:A,判定詳細!AU166))</f>
        <v/>
      </c>
      <c r="AS166" s="12" t="str">
        <f>IF(検体毎項目情報!A167="","",検体毎項目情報!A167)</f>
        <v/>
      </c>
      <c r="AT166" s="12" t="str">
        <f>IF(検体毎項目情報!B167="","",検体毎項目情報!B167)</f>
        <v/>
      </c>
      <c r="AU166" s="12" t="str">
        <f>IF(検体毎項目情報!C167="","",検体毎項目情報!C167)</f>
        <v/>
      </c>
      <c r="AV166" s="12" t="str">
        <f>IF(検体毎項目情報!D167="","",検体毎項目情報!D167)</f>
        <v/>
      </c>
      <c r="AW166" s="12" t="str">
        <f>IF(検体毎項目情報!E167="","",検体毎項目情報!E167)</f>
        <v/>
      </c>
      <c r="AX166" s="12" t="str">
        <f>IF(検体毎項目情報!F167="","",検体毎項目情報!F167)</f>
        <v/>
      </c>
      <c r="AY166" s="12" t="str">
        <f>IF(検体毎項目情報!G167="","",検体毎項目情報!G167)</f>
        <v/>
      </c>
      <c r="AZ166" s="12" t="str">
        <f>IF(検体毎項目情報!H167="","",検体毎項目情報!H167)</f>
        <v/>
      </c>
      <c r="BA166" s="12" t="str">
        <f>IF(検体毎項目情報!I167="","",検体毎項目情報!I167)</f>
        <v/>
      </c>
      <c r="BB166" s="12" t="str">
        <f>IF(検体毎項目情報!J167="","",検体毎項目情報!J167)</f>
        <v/>
      </c>
      <c r="BC166" s="12" t="str">
        <f>IF(検体毎項目情報!K167="","",検体毎項目情報!K167)</f>
        <v/>
      </c>
      <c r="BD166" s="12" t="str">
        <f>IF(検体毎項目情報!L167="","",検体毎項目情報!L167)</f>
        <v/>
      </c>
      <c r="BE166" s="12" t="str">
        <f>IF(検体毎項目情報!M167="","",検体毎項目情報!M167)</f>
        <v/>
      </c>
      <c r="BF166" s="12" t="str">
        <f>IF(検体毎項目情報!N167="","",検体毎項目情報!N167)</f>
        <v/>
      </c>
      <c r="BG166" s="12" t="str">
        <f>IF(検体毎項目情報!O167="","",検体毎項目情報!O167)</f>
        <v/>
      </c>
      <c r="BH166" s="12" t="str">
        <f>IF(検体毎項目情報!P167="","",検体毎項目情報!P167)</f>
        <v/>
      </c>
      <c r="BI166" s="12" t="str">
        <f>IF(検体毎項目情報!Q167="","",検体毎項目情報!Q167)</f>
        <v/>
      </c>
      <c r="BJ166" s="12" t="str">
        <f>IF(検体毎項目情報!R167="","",検体毎項目情報!R167)</f>
        <v/>
      </c>
      <c r="BK166" s="12" t="str">
        <f>IF(検体毎項目情報!S167="","",検体毎項目情報!S167)</f>
        <v/>
      </c>
      <c r="BL166" s="12" t="str">
        <f>IF(検体毎項目情報!T167="","",検体毎項目情報!T167)</f>
        <v/>
      </c>
      <c r="BM166" s="12" t="str">
        <f>IF(検体毎項目情報!U167="","",検体毎項目情報!U167)</f>
        <v/>
      </c>
      <c r="BN166" s="12" t="str">
        <f>IF(検体毎項目情報!V167="","",検体毎項目情報!V167)</f>
        <v/>
      </c>
      <c r="BO166" s="12" t="str">
        <f>IF(検体毎項目情報!W167="","",検体毎項目情報!W167)</f>
        <v/>
      </c>
      <c r="BP166" s="12" t="str">
        <f>IF(検体毎項目情報!X167="","",検体毎項目情報!X167)</f>
        <v/>
      </c>
    </row>
    <row r="167" spans="44:68">
      <c r="AR167" s="32" t="str">
        <f>IF(AS167="","",COUNTIF(費用項目一覧!A:A,判定詳細!AU167))</f>
        <v/>
      </c>
      <c r="AS167" s="12" t="str">
        <f>IF(検体毎項目情報!A168="","",検体毎項目情報!A168)</f>
        <v/>
      </c>
      <c r="AT167" s="12" t="str">
        <f>IF(検体毎項目情報!B168="","",検体毎項目情報!B168)</f>
        <v/>
      </c>
      <c r="AU167" s="12" t="str">
        <f>IF(検体毎項目情報!C168="","",検体毎項目情報!C168)</f>
        <v/>
      </c>
      <c r="AV167" s="12" t="str">
        <f>IF(検体毎項目情報!D168="","",検体毎項目情報!D168)</f>
        <v/>
      </c>
      <c r="AW167" s="12" t="str">
        <f>IF(検体毎項目情報!E168="","",検体毎項目情報!E168)</f>
        <v/>
      </c>
      <c r="AX167" s="12" t="str">
        <f>IF(検体毎項目情報!F168="","",検体毎項目情報!F168)</f>
        <v/>
      </c>
      <c r="AY167" s="12" t="str">
        <f>IF(検体毎項目情報!G168="","",検体毎項目情報!G168)</f>
        <v/>
      </c>
      <c r="AZ167" s="12" t="str">
        <f>IF(検体毎項目情報!H168="","",検体毎項目情報!H168)</f>
        <v/>
      </c>
      <c r="BA167" s="12" t="str">
        <f>IF(検体毎項目情報!I168="","",検体毎項目情報!I168)</f>
        <v/>
      </c>
      <c r="BB167" s="12" t="str">
        <f>IF(検体毎項目情報!J168="","",検体毎項目情報!J168)</f>
        <v/>
      </c>
      <c r="BC167" s="12" t="str">
        <f>IF(検体毎項目情報!K168="","",検体毎項目情報!K168)</f>
        <v/>
      </c>
      <c r="BD167" s="12" t="str">
        <f>IF(検体毎項目情報!L168="","",検体毎項目情報!L168)</f>
        <v/>
      </c>
      <c r="BE167" s="12" t="str">
        <f>IF(検体毎項目情報!M168="","",検体毎項目情報!M168)</f>
        <v/>
      </c>
      <c r="BF167" s="12" t="str">
        <f>IF(検体毎項目情報!N168="","",検体毎項目情報!N168)</f>
        <v/>
      </c>
      <c r="BG167" s="12" t="str">
        <f>IF(検体毎項目情報!O168="","",検体毎項目情報!O168)</f>
        <v/>
      </c>
      <c r="BH167" s="12" t="str">
        <f>IF(検体毎項目情報!P168="","",検体毎項目情報!P168)</f>
        <v/>
      </c>
      <c r="BI167" s="12" t="str">
        <f>IF(検体毎項目情報!Q168="","",検体毎項目情報!Q168)</f>
        <v/>
      </c>
      <c r="BJ167" s="12" t="str">
        <f>IF(検体毎項目情報!R168="","",検体毎項目情報!R168)</f>
        <v/>
      </c>
      <c r="BK167" s="12" t="str">
        <f>IF(検体毎項目情報!S168="","",検体毎項目情報!S168)</f>
        <v/>
      </c>
      <c r="BL167" s="12" t="str">
        <f>IF(検体毎項目情報!T168="","",検体毎項目情報!T168)</f>
        <v/>
      </c>
      <c r="BM167" s="12" t="str">
        <f>IF(検体毎項目情報!U168="","",検体毎項目情報!U168)</f>
        <v/>
      </c>
      <c r="BN167" s="12" t="str">
        <f>IF(検体毎項目情報!V168="","",検体毎項目情報!V168)</f>
        <v/>
      </c>
      <c r="BO167" s="12" t="str">
        <f>IF(検体毎項目情報!W168="","",検体毎項目情報!W168)</f>
        <v/>
      </c>
      <c r="BP167" s="12" t="str">
        <f>IF(検体毎項目情報!X168="","",検体毎項目情報!X168)</f>
        <v/>
      </c>
    </row>
    <row r="168" spans="44:68">
      <c r="AR168" s="32" t="str">
        <f>IF(AS168="","",COUNTIF(費用項目一覧!A:A,判定詳細!AU168))</f>
        <v/>
      </c>
      <c r="AS168" s="12" t="str">
        <f>IF(検体毎項目情報!A169="","",検体毎項目情報!A169)</f>
        <v/>
      </c>
      <c r="AT168" s="12" t="str">
        <f>IF(検体毎項目情報!B169="","",検体毎項目情報!B169)</f>
        <v/>
      </c>
      <c r="AU168" s="12" t="str">
        <f>IF(検体毎項目情報!C169="","",検体毎項目情報!C169)</f>
        <v/>
      </c>
      <c r="AV168" s="12" t="str">
        <f>IF(検体毎項目情報!D169="","",検体毎項目情報!D169)</f>
        <v/>
      </c>
      <c r="AW168" s="12" t="str">
        <f>IF(検体毎項目情報!E169="","",検体毎項目情報!E169)</f>
        <v/>
      </c>
      <c r="AX168" s="12" t="str">
        <f>IF(検体毎項目情報!F169="","",検体毎項目情報!F169)</f>
        <v/>
      </c>
      <c r="AY168" s="12" t="str">
        <f>IF(検体毎項目情報!G169="","",検体毎項目情報!G169)</f>
        <v/>
      </c>
      <c r="AZ168" s="12" t="str">
        <f>IF(検体毎項目情報!H169="","",検体毎項目情報!H169)</f>
        <v/>
      </c>
      <c r="BA168" s="12" t="str">
        <f>IF(検体毎項目情報!I169="","",検体毎項目情報!I169)</f>
        <v/>
      </c>
      <c r="BB168" s="12" t="str">
        <f>IF(検体毎項目情報!J169="","",検体毎項目情報!J169)</f>
        <v/>
      </c>
      <c r="BC168" s="12" t="str">
        <f>IF(検体毎項目情報!K169="","",検体毎項目情報!K169)</f>
        <v/>
      </c>
      <c r="BD168" s="12" t="str">
        <f>IF(検体毎項目情報!L169="","",検体毎項目情報!L169)</f>
        <v/>
      </c>
      <c r="BE168" s="12" t="str">
        <f>IF(検体毎項目情報!M169="","",検体毎項目情報!M169)</f>
        <v/>
      </c>
      <c r="BF168" s="12" t="str">
        <f>IF(検体毎項目情報!N169="","",検体毎項目情報!N169)</f>
        <v/>
      </c>
      <c r="BG168" s="12" t="str">
        <f>IF(検体毎項目情報!O169="","",検体毎項目情報!O169)</f>
        <v/>
      </c>
      <c r="BH168" s="12" t="str">
        <f>IF(検体毎項目情報!P169="","",検体毎項目情報!P169)</f>
        <v/>
      </c>
      <c r="BI168" s="12" t="str">
        <f>IF(検体毎項目情報!Q169="","",検体毎項目情報!Q169)</f>
        <v/>
      </c>
      <c r="BJ168" s="12" t="str">
        <f>IF(検体毎項目情報!R169="","",検体毎項目情報!R169)</f>
        <v/>
      </c>
      <c r="BK168" s="12" t="str">
        <f>IF(検体毎項目情報!S169="","",検体毎項目情報!S169)</f>
        <v/>
      </c>
      <c r="BL168" s="12" t="str">
        <f>IF(検体毎項目情報!T169="","",検体毎項目情報!T169)</f>
        <v/>
      </c>
      <c r="BM168" s="12" t="str">
        <f>IF(検体毎項目情報!U169="","",検体毎項目情報!U169)</f>
        <v/>
      </c>
      <c r="BN168" s="12" t="str">
        <f>IF(検体毎項目情報!V169="","",検体毎項目情報!V169)</f>
        <v/>
      </c>
      <c r="BO168" s="12" t="str">
        <f>IF(検体毎項目情報!W169="","",検体毎項目情報!W169)</f>
        <v/>
      </c>
      <c r="BP168" s="12" t="str">
        <f>IF(検体毎項目情報!X169="","",検体毎項目情報!X169)</f>
        <v/>
      </c>
    </row>
    <row r="169" spans="44:68">
      <c r="AR169" s="32" t="str">
        <f>IF(AS169="","",COUNTIF(費用項目一覧!A:A,判定詳細!AU169))</f>
        <v/>
      </c>
      <c r="AS169" s="12" t="str">
        <f>IF(検体毎項目情報!A170="","",検体毎項目情報!A170)</f>
        <v/>
      </c>
      <c r="AT169" s="12" t="str">
        <f>IF(検体毎項目情報!B170="","",検体毎項目情報!B170)</f>
        <v/>
      </c>
      <c r="AU169" s="12" t="str">
        <f>IF(検体毎項目情報!C170="","",検体毎項目情報!C170)</f>
        <v/>
      </c>
      <c r="AV169" s="12" t="str">
        <f>IF(検体毎項目情報!D170="","",検体毎項目情報!D170)</f>
        <v/>
      </c>
      <c r="AW169" s="12" t="str">
        <f>IF(検体毎項目情報!E170="","",検体毎項目情報!E170)</f>
        <v/>
      </c>
      <c r="AX169" s="12" t="str">
        <f>IF(検体毎項目情報!F170="","",検体毎項目情報!F170)</f>
        <v/>
      </c>
      <c r="AY169" s="12" t="str">
        <f>IF(検体毎項目情報!G170="","",検体毎項目情報!G170)</f>
        <v/>
      </c>
      <c r="AZ169" s="12" t="str">
        <f>IF(検体毎項目情報!H170="","",検体毎項目情報!H170)</f>
        <v/>
      </c>
      <c r="BA169" s="12" t="str">
        <f>IF(検体毎項目情報!I170="","",検体毎項目情報!I170)</f>
        <v/>
      </c>
      <c r="BB169" s="12" t="str">
        <f>IF(検体毎項目情報!J170="","",検体毎項目情報!J170)</f>
        <v/>
      </c>
      <c r="BC169" s="12" t="str">
        <f>IF(検体毎項目情報!K170="","",検体毎項目情報!K170)</f>
        <v/>
      </c>
      <c r="BD169" s="12" t="str">
        <f>IF(検体毎項目情報!L170="","",検体毎項目情報!L170)</f>
        <v/>
      </c>
      <c r="BE169" s="12" t="str">
        <f>IF(検体毎項目情報!M170="","",検体毎項目情報!M170)</f>
        <v/>
      </c>
      <c r="BF169" s="12" t="str">
        <f>IF(検体毎項目情報!N170="","",検体毎項目情報!N170)</f>
        <v/>
      </c>
      <c r="BG169" s="12" t="str">
        <f>IF(検体毎項目情報!O170="","",検体毎項目情報!O170)</f>
        <v/>
      </c>
      <c r="BH169" s="12" t="str">
        <f>IF(検体毎項目情報!P170="","",検体毎項目情報!P170)</f>
        <v/>
      </c>
      <c r="BI169" s="12" t="str">
        <f>IF(検体毎項目情報!Q170="","",検体毎項目情報!Q170)</f>
        <v/>
      </c>
      <c r="BJ169" s="12" t="str">
        <f>IF(検体毎項目情報!R170="","",検体毎項目情報!R170)</f>
        <v/>
      </c>
      <c r="BK169" s="12" t="str">
        <f>IF(検体毎項目情報!S170="","",検体毎項目情報!S170)</f>
        <v/>
      </c>
      <c r="BL169" s="12" t="str">
        <f>IF(検体毎項目情報!T170="","",検体毎項目情報!T170)</f>
        <v/>
      </c>
      <c r="BM169" s="12" t="str">
        <f>IF(検体毎項目情報!U170="","",検体毎項目情報!U170)</f>
        <v/>
      </c>
      <c r="BN169" s="12" t="str">
        <f>IF(検体毎項目情報!V170="","",検体毎項目情報!V170)</f>
        <v/>
      </c>
      <c r="BO169" s="12" t="str">
        <f>IF(検体毎項目情報!W170="","",検体毎項目情報!W170)</f>
        <v/>
      </c>
      <c r="BP169" s="12" t="str">
        <f>IF(検体毎項目情報!X170="","",検体毎項目情報!X170)</f>
        <v/>
      </c>
    </row>
    <row r="170" spans="44:68">
      <c r="AR170" s="32" t="str">
        <f>IF(AS170="","",COUNTIF(費用項目一覧!A:A,判定詳細!AU170))</f>
        <v/>
      </c>
      <c r="AS170" s="12" t="str">
        <f>IF(検体毎項目情報!A171="","",検体毎項目情報!A171)</f>
        <v/>
      </c>
      <c r="AT170" s="12" t="str">
        <f>IF(検体毎項目情報!B171="","",検体毎項目情報!B171)</f>
        <v/>
      </c>
      <c r="AU170" s="12" t="str">
        <f>IF(検体毎項目情報!C171="","",検体毎項目情報!C171)</f>
        <v/>
      </c>
      <c r="AV170" s="12" t="str">
        <f>IF(検体毎項目情報!D171="","",検体毎項目情報!D171)</f>
        <v/>
      </c>
      <c r="AW170" s="12" t="str">
        <f>IF(検体毎項目情報!E171="","",検体毎項目情報!E171)</f>
        <v/>
      </c>
      <c r="AX170" s="12" t="str">
        <f>IF(検体毎項目情報!F171="","",検体毎項目情報!F171)</f>
        <v/>
      </c>
      <c r="AY170" s="12" t="str">
        <f>IF(検体毎項目情報!G171="","",検体毎項目情報!G171)</f>
        <v/>
      </c>
      <c r="AZ170" s="12" t="str">
        <f>IF(検体毎項目情報!H171="","",検体毎項目情報!H171)</f>
        <v/>
      </c>
      <c r="BA170" s="12" t="str">
        <f>IF(検体毎項目情報!I171="","",検体毎項目情報!I171)</f>
        <v/>
      </c>
      <c r="BB170" s="12" t="str">
        <f>IF(検体毎項目情報!J171="","",検体毎項目情報!J171)</f>
        <v/>
      </c>
      <c r="BC170" s="12" t="str">
        <f>IF(検体毎項目情報!K171="","",検体毎項目情報!K171)</f>
        <v/>
      </c>
      <c r="BD170" s="12" t="str">
        <f>IF(検体毎項目情報!L171="","",検体毎項目情報!L171)</f>
        <v/>
      </c>
      <c r="BE170" s="12" t="str">
        <f>IF(検体毎項目情報!M171="","",検体毎項目情報!M171)</f>
        <v/>
      </c>
      <c r="BF170" s="12" t="str">
        <f>IF(検体毎項目情報!N171="","",検体毎項目情報!N171)</f>
        <v/>
      </c>
      <c r="BG170" s="12" t="str">
        <f>IF(検体毎項目情報!O171="","",検体毎項目情報!O171)</f>
        <v/>
      </c>
      <c r="BH170" s="12" t="str">
        <f>IF(検体毎項目情報!P171="","",検体毎項目情報!P171)</f>
        <v/>
      </c>
      <c r="BI170" s="12" t="str">
        <f>IF(検体毎項目情報!Q171="","",検体毎項目情報!Q171)</f>
        <v/>
      </c>
      <c r="BJ170" s="12" t="str">
        <f>IF(検体毎項目情報!R171="","",検体毎項目情報!R171)</f>
        <v/>
      </c>
      <c r="BK170" s="12" t="str">
        <f>IF(検体毎項目情報!S171="","",検体毎項目情報!S171)</f>
        <v/>
      </c>
      <c r="BL170" s="12" t="str">
        <f>IF(検体毎項目情報!T171="","",検体毎項目情報!T171)</f>
        <v/>
      </c>
      <c r="BM170" s="12" t="str">
        <f>IF(検体毎項目情報!U171="","",検体毎項目情報!U171)</f>
        <v/>
      </c>
      <c r="BN170" s="12" t="str">
        <f>IF(検体毎項目情報!V171="","",検体毎項目情報!V171)</f>
        <v/>
      </c>
      <c r="BO170" s="12" t="str">
        <f>IF(検体毎項目情報!W171="","",検体毎項目情報!W171)</f>
        <v/>
      </c>
      <c r="BP170" s="12" t="str">
        <f>IF(検体毎項目情報!X171="","",検体毎項目情報!X171)</f>
        <v/>
      </c>
    </row>
    <row r="171" spans="44:68">
      <c r="AR171" s="32" t="str">
        <f>IF(AS171="","",COUNTIF(費用項目一覧!A:A,判定詳細!AU171))</f>
        <v/>
      </c>
      <c r="AS171" s="12" t="str">
        <f>IF(検体毎項目情報!A172="","",検体毎項目情報!A172)</f>
        <v/>
      </c>
      <c r="AT171" s="12" t="str">
        <f>IF(検体毎項目情報!B172="","",検体毎項目情報!B172)</f>
        <v/>
      </c>
      <c r="AU171" s="12" t="str">
        <f>IF(検体毎項目情報!C172="","",検体毎項目情報!C172)</f>
        <v/>
      </c>
      <c r="AV171" s="12" t="str">
        <f>IF(検体毎項目情報!D172="","",検体毎項目情報!D172)</f>
        <v/>
      </c>
      <c r="AW171" s="12" t="str">
        <f>IF(検体毎項目情報!E172="","",検体毎項目情報!E172)</f>
        <v/>
      </c>
      <c r="AX171" s="12" t="str">
        <f>IF(検体毎項目情報!F172="","",検体毎項目情報!F172)</f>
        <v/>
      </c>
      <c r="AY171" s="12" t="str">
        <f>IF(検体毎項目情報!G172="","",検体毎項目情報!G172)</f>
        <v/>
      </c>
      <c r="AZ171" s="12" t="str">
        <f>IF(検体毎項目情報!H172="","",検体毎項目情報!H172)</f>
        <v/>
      </c>
      <c r="BA171" s="12" t="str">
        <f>IF(検体毎項目情報!I172="","",検体毎項目情報!I172)</f>
        <v/>
      </c>
      <c r="BB171" s="12" t="str">
        <f>IF(検体毎項目情報!J172="","",検体毎項目情報!J172)</f>
        <v/>
      </c>
      <c r="BC171" s="12" t="str">
        <f>IF(検体毎項目情報!K172="","",検体毎項目情報!K172)</f>
        <v/>
      </c>
      <c r="BD171" s="12" t="str">
        <f>IF(検体毎項目情報!L172="","",検体毎項目情報!L172)</f>
        <v/>
      </c>
      <c r="BE171" s="12" t="str">
        <f>IF(検体毎項目情報!M172="","",検体毎項目情報!M172)</f>
        <v/>
      </c>
      <c r="BF171" s="12" t="str">
        <f>IF(検体毎項目情報!N172="","",検体毎項目情報!N172)</f>
        <v/>
      </c>
      <c r="BG171" s="12" t="str">
        <f>IF(検体毎項目情報!O172="","",検体毎項目情報!O172)</f>
        <v/>
      </c>
      <c r="BH171" s="12" t="str">
        <f>IF(検体毎項目情報!P172="","",検体毎項目情報!P172)</f>
        <v/>
      </c>
      <c r="BI171" s="12" t="str">
        <f>IF(検体毎項目情報!Q172="","",検体毎項目情報!Q172)</f>
        <v/>
      </c>
      <c r="BJ171" s="12" t="str">
        <f>IF(検体毎項目情報!R172="","",検体毎項目情報!R172)</f>
        <v/>
      </c>
      <c r="BK171" s="12" t="str">
        <f>IF(検体毎項目情報!S172="","",検体毎項目情報!S172)</f>
        <v/>
      </c>
      <c r="BL171" s="12" t="str">
        <f>IF(検体毎項目情報!T172="","",検体毎項目情報!T172)</f>
        <v/>
      </c>
      <c r="BM171" s="12" t="str">
        <f>IF(検体毎項目情報!U172="","",検体毎項目情報!U172)</f>
        <v/>
      </c>
      <c r="BN171" s="12" t="str">
        <f>IF(検体毎項目情報!V172="","",検体毎項目情報!V172)</f>
        <v/>
      </c>
      <c r="BO171" s="12" t="str">
        <f>IF(検体毎項目情報!W172="","",検体毎項目情報!W172)</f>
        <v/>
      </c>
      <c r="BP171" s="12" t="str">
        <f>IF(検体毎項目情報!X172="","",検体毎項目情報!X172)</f>
        <v/>
      </c>
    </row>
    <row r="172" spans="44:68">
      <c r="AR172" s="32" t="str">
        <f>IF(AS172="","",COUNTIF(費用項目一覧!A:A,判定詳細!AU172))</f>
        <v/>
      </c>
      <c r="AS172" s="12" t="str">
        <f>IF(検体毎項目情報!A173="","",検体毎項目情報!A173)</f>
        <v/>
      </c>
      <c r="AT172" s="12" t="str">
        <f>IF(検体毎項目情報!B173="","",検体毎項目情報!B173)</f>
        <v/>
      </c>
      <c r="AU172" s="12" t="str">
        <f>IF(検体毎項目情報!C173="","",検体毎項目情報!C173)</f>
        <v/>
      </c>
      <c r="AV172" s="12" t="str">
        <f>IF(検体毎項目情報!D173="","",検体毎項目情報!D173)</f>
        <v/>
      </c>
      <c r="AW172" s="12" t="str">
        <f>IF(検体毎項目情報!E173="","",検体毎項目情報!E173)</f>
        <v/>
      </c>
      <c r="AX172" s="12" t="str">
        <f>IF(検体毎項目情報!F173="","",検体毎項目情報!F173)</f>
        <v/>
      </c>
      <c r="AY172" s="12" t="str">
        <f>IF(検体毎項目情報!G173="","",検体毎項目情報!G173)</f>
        <v/>
      </c>
      <c r="AZ172" s="12" t="str">
        <f>IF(検体毎項目情報!H173="","",検体毎項目情報!H173)</f>
        <v/>
      </c>
      <c r="BA172" s="12" t="str">
        <f>IF(検体毎項目情報!I173="","",検体毎項目情報!I173)</f>
        <v/>
      </c>
      <c r="BB172" s="12" t="str">
        <f>IF(検体毎項目情報!J173="","",検体毎項目情報!J173)</f>
        <v/>
      </c>
      <c r="BC172" s="12" t="str">
        <f>IF(検体毎項目情報!K173="","",検体毎項目情報!K173)</f>
        <v/>
      </c>
      <c r="BD172" s="12" t="str">
        <f>IF(検体毎項目情報!L173="","",検体毎項目情報!L173)</f>
        <v/>
      </c>
      <c r="BE172" s="12" t="str">
        <f>IF(検体毎項目情報!M173="","",検体毎項目情報!M173)</f>
        <v/>
      </c>
      <c r="BF172" s="12" t="str">
        <f>IF(検体毎項目情報!N173="","",検体毎項目情報!N173)</f>
        <v/>
      </c>
      <c r="BG172" s="12" t="str">
        <f>IF(検体毎項目情報!O173="","",検体毎項目情報!O173)</f>
        <v/>
      </c>
      <c r="BH172" s="12" t="str">
        <f>IF(検体毎項目情報!P173="","",検体毎項目情報!P173)</f>
        <v/>
      </c>
      <c r="BI172" s="12" t="str">
        <f>IF(検体毎項目情報!Q173="","",検体毎項目情報!Q173)</f>
        <v/>
      </c>
      <c r="BJ172" s="12" t="str">
        <f>IF(検体毎項目情報!R173="","",検体毎項目情報!R173)</f>
        <v/>
      </c>
      <c r="BK172" s="12" t="str">
        <f>IF(検体毎項目情報!S173="","",検体毎項目情報!S173)</f>
        <v/>
      </c>
      <c r="BL172" s="12" t="str">
        <f>IF(検体毎項目情報!T173="","",検体毎項目情報!T173)</f>
        <v/>
      </c>
      <c r="BM172" s="12" t="str">
        <f>IF(検体毎項目情報!U173="","",検体毎項目情報!U173)</f>
        <v/>
      </c>
      <c r="BN172" s="12" t="str">
        <f>IF(検体毎項目情報!V173="","",検体毎項目情報!V173)</f>
        <v/>
      </c>
      <c r="BO172" s="12" t="str">
        <f>IF(検体毎項目情報!W173="","",検体毎項目情報!W173)</f>
        <v/>
      </c>
      <c r="BP172" s="12" t="str">
        <f>IF(検体毎項目情報!X173="","",検体毎項目情報!X173)</f>
        <v/>
      </c>
    </row>
    <row r="173" spans="44:68">
      <c r="AR173" s="32" t="str">
        <f>IF(AS173="","",COUNTIF(費用項目一覧!A:A,判定詳細!AU173))</f>
        <v/>
      </c>
      <c r="AS173" s="12" t="str">
        <f>IF(検体毎項目情報!A174="","",検体毎項目情報!A174)</f>
        <v/>
      </c>
      <c r="AT173" s="12" t="str">
        <f>IF(検体毎項目情報!B174="","",検体毎項目情報!B174)</f>
        <v/>
      </c>
      <c r="AU173" s="12" t="str">
        <f>IF(検体毎項目情報!C174="","",検体毎項目情報!C174)</f>
        <v/>
      </c>
      <c r="AV173" s="12" t="str">
        <f>IF(検体毎項目情報!D174="","",検体毎項目情報!D174)</f>
        <v/>
      </c>
      <c r="AW173" s="12" t="str">
        <f>IF(検体毎項目情報!E174="","",検体毎項目情報!E174)</f>
        <v/>
      </c>
      <c r="AX173" s="12" t="str">
        <f>IF(検体毎項目情報!F174="","",検体毎項目情報!F174)</f>
        <v/>
      </c>
      <c r="AY173" s="12" t="str">
        <f>IF(検体毎項目情報!G174="","",検体毎項目情報!G174)</f>
        <v/>
      </c>
      <c r="AZ173" s="12" t="str">
        <f>IF(検体毎項目情報!H174="","",検体毎項目情報!H174)</f>
        <v/>
      </c>
      <c r="BA173" s="12" t="str">
        <f>IF(検体毎項目情報!I174="","",検体毎項目情報!I174)</f>
        <v/>
      </c>
      <c r="BB173" s="12" t="str">
        <f>IF(検体毎項目情報!J174="","",検体毎項目情報!J174)</f>
        <v/>
      </c>
      <c r="BC173" s="12" t="str">
        <f>IF(検体毎項目情報!K174="","",検体毎項目情報!K174)</f>
        <v/>
      </c>
      <c r="BD173" s="12" t="str">
        <f>IF(検体毎項目情報!L174="","",検体毎項目情報!L174)</f>
        <v/>
      </c>
      <c r="BE173" s="12" t="str">
        <f>IF(検体毎項目情報!M174="","",検体毎項目情報!M174)</f>
        <v/>
      </c>
      <c r="BF173" s="12" t="str">
        <f>IF(検体毎項目情報!N174="","",検体毎項目情報!N174)</f>
        <v/>
      </c>
      <c r="BG173" s="12" t="str">
        <f>IF(検体毎項目情報!O174="","",検体毎項目情報!O174)</f>
        <v/>
      </c>
      <c r="BH173" s="12" t="str">
        <f>IF(検体毎項目情報!P174="","",検体毎項目情報!P174)</f>
        <v/>
      </c>
      <c r="BI173" s="12" t="str">
        <f>IF(検体毎項目情報!Q174="","",検体毎項目情報!Q174)</f>
        <v/>
      </c>
      <c r="BJ173" s="12" t="str">
        <f>IF(検体毎項目情報!R174="","",検体毎項目情報!R174)</f>
        <v/>
      </c>
      <c r="BK173" s="12" t="str">
        <f>IF(検体毎項目情報!S174="","",検体毎項目情報!S174)</f>
        <v/>
      </c>
      <c r="BL173" s="12" t="str">
        <f>IF(検体毎項目情報!T174="","",検体毎項目情報!T174)</f>
        <v/>
      </c>
      <c r="BM173" s="12" t="str">
        <f>IF(検体毎項目情報!U174="","",検体毎項目情報!U174)</f>
        <v/>
      </c>
      <c r="BN173" s="12" t="str">
        <f>IF(検体毎項目情報!V174="","",検体毎項目情報!V174)</f>
        <v/>
      </c>
      <c r="BO173" s="12" t="str">
        <f>IF(検体毎項目情報!W174="","",検体毎項目情報!W174)</f>
        <v/>
      </c>
      <c r="BP173" s="12" t="str">
        <f>IF(検体毎項目情報!X174="","",検体毎項目情報!X174)</f>
        <v/>
      </c>
    </row>
    <row r="174" spans="44:68">
      <c r="AR174" s="32" t="str">
        <f>IF(AS174="","",COUNTIF(費用項目一覧!A:A,判定詳細!AU174))</f>
        <v/>
      </c>
      <c r="AS174" s="12" t="str">
        <f>IF(検体毎項目情報!A175="","",検体毎項目情報!A175)</f>
        <v/>
      </c>
      <c r="AT174" s="12" t="str">
        <f>IF(検体毎項目情報!B175="","",検体毎項目情報!B175)</f>
        <v/>
      </c>
      <c r="AU174" s="12" t="str">
        <f>IF(検体毎項目情報!C175="","",検体毎項目情報!C175)</f>
        <v/>
      </c>
      <c r="AV174" s="12" t="str">
        <f>IF(検体毎項目情報!D175="","",検体毎項目情報!D175)</f>
        <v/>
      </c>
      <c r="AW174" s="12" t="str">
        <f>IF(検体毎項目情報!E175="","",検体毎項目情報!E175)</f>
        <v/>
      </c>
      <c r="AX174" s="12" t="str">
        <f>IF(検体毎項目情報!F175="","",検体毎項目情報!F175)</f>
        <v/>
      </c>
      <c r="AY174" s="12" t="str">
        <f>IF(検体毎項目情報!G175="","",検体毎項目情報!G175)</f>
        <v/>
      </c>
      <c r="AZ174" s="12" t="str">
        <f>IF(検体毎項目情報!H175="","",検体毎項目情報!H175)</f>
        <v/>
      </c>
      <c r="BA174" s="12" t="str">
        <f>IF(検体毎項目情報!I175="","",検体毎項目情報!I175)</f>
        <v/>
      </c>
      <c r="BB174" s="12" t="str">
        <f>IF(検体毎項目情報!J175="","",検体毎項目情報!J175)</f>
        <v/>
      </c>
      <c r="BC174" s="12" t="str">
        <f>IF(検体毎項目情報!K175="","",検体毎項目情報!K175)</f>
        <v/>
      </c>
      <c r="BD174" s="12" t="str">
        <f>IF(検体毎項目情報!L175="","",検体毎項目情報!L175)</f>
        <v/>
      </c>
      <c r="BE174" s="12" t="str">
        <f>IF(検体毎項目情報!M175="","",検体毎項目情報!M175)</f>
        <v/>
      </c>
      <c r="BF174" s="12" t="str">
        <f>IF(検体毎項目情報!N175="","",検体毎項目情報!N175)</f>
        <v/>
      </c>
      <c r="BG174" s="12" t="str">
        <f>IF(検体毎項目情報!O175="","",検体毎項目情報!O175)</f>
        <v/>
      </c>
      <c r="BH174" s="12" t="str">
        <f>IF(検体毎項目情報!P175="","",検体毎項目情報!P175)</f>
        <v/>
      </c>
      <c r="BI174" s="12" t="str">
        <f>IF(検体毎項目情報!Q175="","",検体毎項目情報!Q175)</f>
        <v/>
      </c>
      <c r="BJ174" s="12" t="str">
        <f>IF(検体毎項目情報!R175="","",検体毎項目情報!R175)</f>
        <v/>
      </c>
      <c r="BK174" s="12" t="str">
        <f>IF(検体毎項目情報!S175="","",検体毎項目情報!S175)</f>
        <v/>
      </c>
      <c r="BL174" s="12" t="str">
        <f>IF(検体毎項目情報!T175="","",検体毎項目情報!T175)</f>
        <v/>
      </c>
      <c r="BM174" s="12" t="str">
        <f>IF(検体毎項目情報!U175="","",検体毎項目情報!U175)</f>
        <v/>
      </c>
      <c r="BN174" s="12" t="str">
        <f>IF(検体毎項目情報!V175="","",検体毎項目情報!V175)</f>
        <v/>
      </c>
      <c r="BO174" s="12" t="str">
        <f>IF(検体毎項目情報!W175="","",検体毎項目情報!W175)</f>
        <v/>
      </c>
      <c r="BP174" s="12" t="str">
        <f>IF(検体毎項目情報!X175="","",検体毎項目情報!X175)</f>
        <v/>
      </c>
    </row>
    <row r="175" spans="44:68">
      <c r="AR175" s="32" t="str">
        <f>IF(AS175="","",COUNTIF(費用項目一覧!A:A,判定詳細!AU175))</f>
        <v/>
      </c>
      <c r="AS175" s="12" t="str">
        <f>IF(検体毎項目情報!A176="","",検体毎項目情報!A176)</f>
        <v/>
      </c>
      <c r="AT175" s="12" t="str">
        <f>IF(検体毎項目情報!B176="","",検体毎項目情報!B176)</f>
        <v/>
      </c>
      <c r="AU175" s="12" t="str">
        <f>IF(検体毎項目情報!C176="","",検体毎項目情報!C176)</f>
        <v/>
      </c>
      <c r="AV175" s="12" t="str">
        <f>IF(検体毎項目情報!D176="","",検体毎項目情報!D176)</f>
        <v/>
      </c>
      <c r="AW175" s="12" t="str">
        <f>IF(検体毎項目情報!E176="","",検体毎項目情報!E176)</f>
        <v/>
      </c>
      <c r="AX175" s="12" t="str">
        <f>IF(検体毎項目情報!F176="","",検体毎項目情報!F176)</f>
        <v/>
      </c>
      <c r="AY175" s="12" t="str">
        <f>IF(検体毎項目情報!G176="","",検体毎項目情報!G176)</f>
        <v/>
      </c>
      <c r="AZ175" s="12" t="str">
        <f>IF(検体毎項目情報!H176="","",検体毎項目情報!H176)</f>
        <v/>
      </c>
      <c r="BA175" s="12" t="str">
        <f>IF(検体毎項目情報!I176="","",検体毎項目情報!I176)</f>
        <v/>
      </c>
      <c r="BB175" s="12" t="str">
        <f>IF(検体毎項目情報!J176="","",検体毎項目情報!J176)</f>
        <v/>
      </c>
      <c r="BC175" s="12" t="str">
        <f>IF(検体毎項目情報!K176="","",検体毎項目情報!K176)</f>
        <v/>
      </c>
      <c r="BD175" s="12" t="str">
        <f>IF(検体毎項目情報!L176="","",検体毎項目情報!L176)</f>
        <v/>
      </c>
      <c r="BE175" s="12" t="str">
        <f>IF(検体毎項目情報!M176="","",検体毎項目情報!M176)</f>
        <v/>
      </c>
      <c r="BF175" s="12" t="str">
        <f>IF(検体毎項目情報!N176="","",検体毎項目情報!N176)</f>
        <v/>
      </c>
      <c r="BG175" s="12" t="str">
        <f>IF(検体毎項目情報!O176="","",検体毎項目情報!O176)</f>
        <v/>
      </c>
      <c r="BH175" s="12" t="str">
        <f>IF(検体毎項目情報!P176="","",検体毎項目情報!P176)</f>
        <v/>
      </c>
      <c r="BI175" s="12" t="str">
        <f>IF(検体毎項目情報!Q176="","",検体毎項目情報!Q176)</f>
        <v/>
      </c>
      <c r="BJ175" s="12" t="str">
        <f>IF(検体毎項目情報!R176="","",検体毎項目情報!R176)</f>
        <v/>
      </c>
      <c r="BK175" s="12" t="str">
        <f>IF(検体毎項目情報!S176="","",検体毎項目情報!S176)</f>
        <v/>
      </c>
      <c r="BL175" s="12" t="str">
        <f>IF(検体毎項目情報!T176="","",検体毎項目情報!T176)</f>
        <v/>
      </c>
      <c r="BM175" s="12" t="str">
        <f>IF(検体毎項目情報!U176="","",検体毎項目情報!U176)</f>
        <v/>
      </c>
      <c r="BN175" s="12" t="str">
        <f>IF(検体毎項目情報!V176="","",検体毎項目情報!V176)</f>
        <v/>
      </c>
      <c r="BO175" s="12" t="str">
        <f>IF(検体毎項目情報!W176="","",検体毎項目情報!W176)</f>
        <v/>
      </c>
      <c r="BP175" s="12" t="str">
        <f>IF(検体毎項目情報!X176="","",検体毎項目情報!X176)</f>
        <v/>
      </c>
    </row>
    <row r="176" spans="44:68">
      <c r="AR176" s="32" t="str">
        <f>IF(AS176="","",COUNTIF(費用項目一覧!A:A,判定詳細!AU176))</f>
        <v/>
      </c>
      <c r="AS176" s="12" t="str">
        <f>IF(検体毎項目情報!A177="","",検体毎項目情報!A177)</f>
        <v/>
      </c>
      <c r="AT176" s="12" t="str">
        <f>IF(検体毎項目情報!B177="","",検体毎項目情報!B177)</f>
        <v/>
      </c>
      <c r="AU176" s="12" t="str">
        <f>IF(検体毎項目情報!C177="","",検体毎項目情報!C177)</f>
        <v/>
      </c>
      <c r="AV176" s="12" t="str">
        <f>IF(検体毎項目情報!D177="","",検体毎項目情報!D177)</f>
        <v/>
      </c>
      <c r="AW176" s="12" t="str">
        <f>IF(検体毎項目情報!E177="","",検体毎項目情報!E177)</f>
        <v/>
      </c>
      <c r="AX176" s="12" t="str">
        <f>IF(検体毎項目情報!F177="","",検体毎項目情報!F177)</f>
        <v/>
      </c>
      <c r="AY176" s="12" t="str">
        <f>IF(検体毎項目情報!G177="","",検体毎項目情報!G177)</f>
        <v/>
      </c>
      <c r="AZ176" s="12" t="str">
        <f>IF(検体毎項目情報!H177="","",検体毎項目情報!H177)</f>
        <v/>
      </c>
      <c r="BA176" s="12" t="str">
        <f>IF(検体毎項目情報!I177="","",検体毎項目情報!I177)</f>
        <v/>
      </c>
      <c r="BB176" s="12" t="str">
        <f>IF(検体毎項目情報!J177="","",検体毎項目情報!J177)</f>
        <v/>
      </c>
      <c r="BC176" s="12" t="str">
        <f>IF(検体毎項目情報!K177="","",検体毎項目情報!K177)</f>
        <v/>
      </c>
      <c r="BD176" s="12" t="str">
        <f>IF(検体毎項目情報!L177="","",検体毎項目情報!L177)</f>
        <v/>
      </c>
      <c r="BE176" s="12" t="str">
        <f>IF(検体毎項目情報!M177="","",検体毎項目情報!M177)</f>
        <v/>
      </c>
      <c r="BF176" s="12" t="str">
        <f>IF(検体毎項目情報!N177="","",検体毎項目情報!N177)</f>
        <v/>
      </c>
      <c r="BG176" s="12" t="str">
        <f>IF(検体毎項目情報!O177="","",検体毎項目情報!O177)</f>
        <v/>
      </c>
      <c r="BH176" s="12" t="str">
        <f>IF(検体毎項目情報!P177="","",検体毎項目情報!P177)</f>
        <v/>
      </c>
      <c r="BI176" s="12" t="str">
        <f>IF(検体毎項目情報!Q177="","",検体毎項目情報!Q177)</f>
        <v/>
      </c>
      <c r="BJ176" s="12" t="str">
        <f>IF(検体毎項目情報!R177="","",検体毎項目情報!R177)</f>
        <v/>
      </c>
      <c r="BK176" s="12" t="str">
        <f>IF(検体毎項目情報!S177="","",検体毎項目情報!S177)</f>
        <v/>
      </c>
      <c r="BL176" s="12" t="str">
        <f>IF(検体毎項目情報!T177="","",検体毎項目情報!T177)</f>
        <v/>
      </c>
      <c r="BM176" s="12" t="str">
        <f>IF(検体毎項目情報!U177="","",検体毎項目情報!U177)</f>
        <v/>
      </c>
      <c r="BN176" s="12" t="str">
        <f>IF(検体毎項目情報!V177="","",検体毎項目情報!V177)</f>
        <v/>
      </c>
      <c r="BO176" s="12" t="str">
        <f>IF(検体毎項目情報!W177="","",検体毎項目情報!W177)</f>
        <v/>
      </c>
      <c r="BP176" s="12" t="str">
        <f>IF(検体毎項目情報!X177="","",検体毎項目情報!X177)</f>
        <v/>
      </c>
    </row>
    <row r="177" spans="44:68">
      <c r="AR177" s="32" t="str">
        <f>IF(AS177="","",COUNTIF(費用項目一覧!A:A,判定詳細!AU177))</f>
        <v/>
      </c>
      <c r="AS177" s="12" t="str">
        <f>IF(検体毎項目情報!A178="","",検体毎項目情報!A178)</f>
        <v/>
      </c>
      <c r="AT177" s="12" t="str">
        <f>IF(検体毎項目情報!B178="","",検体毎項目情報!B178)</f>
        <v/>
      </c>
      <c r="AU177" s="12" t="str">
        <f>IF(検体毎項目情報!C178="","",検体毎項目情報!C178)</f>
        <v/>
      </c>
      <c r="AV177" s="12" t="str">
        <f>IF(検体毎項目情報!D178="","",検体毎項目情報!D178)</f>
        <v/>
      </c>
      <c r="AW177" s="12" t="str">
        <f>IF(検体毎項目情報!E178="","",検体毎項目情報!E178)</f>
        <v/>
      </c>
      <c r="AX177" s="12" t="str">
        <f>IF(検体毎項目情報!F178="","",検体毎項目情報!F178)</f>
        <v/>
      </c>
      <c r="AY177" s="12" t="str">
        <f>IF(検体毎項目情報!G178="","",検体毎項目情報!G178)</f>
        <v/>
      </c>
      <c r="AZ177" s="12" t="str">
        <f>IF(検体毎項目情報!H178="","",検体毎項目情報!H178)</f>
        <v/>
      </c>
      <c r="BA177" s="12" t="str">
        <f>IF(検体毎項目情報!I178="","",検体毎項目情報!I178)</f>
        <v/>
      </c>
      <c r="BB177" s="12" t="str">
        <f>IF(検体毎項目情報!J178="","",検体毎項目情報!J178)</f>
        <v/>
      </c>
      <c r="BC177" s="12" t="str">
        <f>IF(検体毎項目情報!K178="","",検体毎項目情報!K178)</f>
        <v/>
      </c>
      <c r="BD177" s="12" t="str">
        <f>IF(検体毎項目情報!L178="","",検体毎項目情報!L178)</f>
        <v/>
      </c>
      <c r="BE177" s="12" t="str">
        <f>IF(検体毎項目情報!M178="","",検体毎項目情報!M178)</f>
        <v/>
      </c>
      <c r="BF177" s="12" t="str">
        <f>IF(検体毎項目情報!N178="","",検体毎項目情報!N178)</f>
        <v/>
      </c>
      <c r="BG177" s="12" t="str">
        <f>IF(検体毎項目情報!O178="","",検体毎項目情報!O178)</f>
        <v/>
      </c>
      <c r="BH177" s="12" t="str">
        <f>IF(検体毎項目情報!P178="","",検体毎項目情報!P178)</f>
        <v/>
      </c>
      <c r="BI177" s="12" t="str">
        <f>IF(検体毎項目情報!Q178="","",検体毎項目情報!Q178)</f>
        <v/>
      </c>
      <c r="BJ177" s="12" t="str">
        <f>IF(検体毎項目情報!R178="","",検体毎項目情報!R178)</f>
        <v/>
      </c>
      <c r="BK177" s="12" t="str">
        <f>IF(検体毎項目情報!S178="","",検体毎項目情報!S178)</f>
        <v/>
      </c>
      <c r="BL177" s="12" t="str">
        <f>IF(検体毎項目情報!T178="","",検体毎項目情報!T178)</f>
        <v/>
      </c>
      <c r="BM177" s="12" t="str">
        <f>IF(検体毎項目情報!U178="","",検体毎項目情報!U178)</f>
        <v/>
      </c>
      <c r="BN177" s="12" t="str">
        <f>IF(検体毎項目情報!V178="","",検体毎項目情報!V178)</f>
        <v/>
      </c>
      <c r="BO177" s="12" t="str">
        <f>IF(検体毎項目情報!W178="","",検体毎項目情報!W178)</f>
        <v/>
      </c>
      <c r="BP177" s="12" t="str">
        <f>IF(検体毎項目情報!X178="","",検体毎項目情報!X178)</f>
        <v/>
      </c>
    </row>
    <row r="178" spans="44:68">
      <c r="AR178" s="32" t="str">
        <f>IF(AS178="","",COUNTIF(費用項目一覧!A:A,判定詳細!AU178))</f>
        <v/>
      </c>
      <c r="AS178" s="12" t="str">
        <f>IF(検体毎項目情報!A179="","",検体毎項目情報!A179)</f>
        <v/>
      </c>
      <c r="AT178" s="12" t="str">
        <f>IF(検体毎項目情報!B179="","",検体毎項目情報!B179)</f>
        <v/>
      </c>
      <c r="AU178" s="12" t="str">
        <f>IF(検体毎項目情報!C179="","",検体毎項目情報!C179)</f>
        <v/>
      </c>
      <c r="AV178" s="12" t="str">
        <f>IF(検体毎項目情報!D179="","",検体毎項目情報!D179)</f>
        <v/>
      </c>
      <c r="AW178" s="12" t="str">
        <f>IF(検体毎項目情報!E179="","",検体毎項目情報!E179)</f>
        <v/>
      </c>
      <c r="AX178" s="12" t="str">
        <f>IF(検体毎項目情報!F179="","",検体毎項目情報!F179)</f>
        <v/>
      </c>
      <c r="AY178" s="12" t="str">
        <f>IF(検体毎項目情報!G179="","",検体毎項目情報!G179)</f>
        <v/>
      </c>
      <c r="AZ178" s="12" t="str">
        <f>IF(検体毎項目情報!H179="","",検体毎項目情報!H179)</f>
        <v/>
      </c>
      <c r="BA178" s="12" t="str">
        <f>IF(検体毎項目情報!I179="","",検体毎項目情報!I179)</f>
        <v/>
      </c>
      <c r="BB178" s="12" t="str">
        <f>IF(検体毎項目情報!J179="","",検体毎項目情報!J179)</f>
        <v/>
      </c>
      <c r="BC178" s="12" t="str">
        <f>IF(検体毎項目情報!K179="","",検体毎項目情報!K179)</f>
        <v/>
      </c>
      <c r="BD178" s="12" t="str">
        <f>IF(検体毎項目情報!L179="","",検体毎項目情報!L179)</f>
        <v/>
      </c>
      <c r="BE178" s="12" t="str">
        <f>IF(検体毎項目情報!M179="","",検体毎項目情報!M179)</f>
        <v/>
      </c>
      <c r="BF178" s="12" t="str">
        <f>IF(検体毎項目情報!N179="","",検体毎項目情報!N179)</f>
        <v/>
      </c>
      <c r="BG178" s="12" t="str">
        <f>IF(検体毎項目情報!O179="","",検体毎項目情報!O179)</f>
        <v/>
      </c>
      <c r="BH178" s="12" t="str">
        <f>IF(検体毎項目情報!P179="","",検体毎項目情報!P179)</f>
        <v/>
      </c>
      <c r="BI178" s="12" t="str">
        <f>IF(検体毎項目情報!Q179="","",検体毎項目情報!Q179)</f>
        <v/>
      </c>
      <c r="BJ178" s="12" t="str">
        <f>IF(検体毎項目情報!R179="","",検体毎項目情報!R179)</f>
        <v/>
      </c>
      <c r="BK178" s="12" t="str">
        <f>IF(検体毎項目情報!S179="","",検体毎項目情報!S179)</f>
        <v/>
      </c>
      <c r="BL178" s="12" t="str">
        <f>IF(検体毎項目情報!T179="","",検体毎項目情報!T179)</f>
        <v/>
      </c>
      <c r="BM178" s="12" t="str">
        <f>IF(検体毎項目情報!U179="","",検体毎項目情報!U179)</f>
        <v/>
      </c>
      <c r="BN178" s="12" t="str">
        <f>IF(検体毎項目情報!V179="","",検体毎項目情報!V179)</f>
        <v/>
      </c>
      <c r="BO178" s="12" t="str">
        <f>IF(検体毎項目情報!W179="","",検体毎項目情報!W179)</f>
        <v/>
      </c>
      <c r="BP178" s="12" t="str">
        <f>IF(検体毎項目情報!X179="","",検体毎項目情報!X179)</f>
        <v/>
      </c>
    </row>
    <row r="179" spans="44:68">
      <c r="AR179" s="32" t="str">
        <f>IF(AS179="","",COUNTIF(費用項目一覧!A:A,判定詳細!AU179))</f>
        <v/>
      </c>
      <c r="AS179" s="12" t="str">
        <f>IF(検体毎項目情報!A180="","",検体毎項目情報!A180)</f>
        <v/>
      </c>
      <c r="AT179" s="12" t="str">
        <f>IF(検体毎項目情報!B180="","",検体毎項目情報!B180)</f>
        <v/>
      </c>
      <c r="AU179" s="12" t="str">
        <f>IF(検体毎項目情報!C180="","",検体毎項目情報!C180)</f>
        <v/>
      </c>
      <c r="AV179" s="12" t="str">
        <f>IF(検体毎項目情報!D180="","",検体毎項目情報!D180)</f>
        <v/>
      </c>
      <c r="AW179" s="12" t="str">
        <f>IF(検体毎項目情報!E180="","",検体毎項目情報!E180)</f>
        <v/>
      </c>
      <c r="AX179" s="12" t="str">
        <f>IF(検体毎項目情報!F180="","",検体毎項目情報!F180)</f>
        <v/>
      </c>
      <c r="AY179" s="12" t="str">
        <f>IF(検体毎項目情報!G180="","",検体毎項目情報!G180)</f>
        <v/>
      </c>
      <c r="AZ179" s="12" t="str">
        <f>IF(検体毎項目情報!H180="","",検体毎項目情報!H180)</f>
        <v/>
      </c>
      <c r="BA179" s="12" t="str">
        <f>IF(検体毎項目情報!I180="","",検体毎項目情報!I180)</f>
        <v/>
      </c>
      <c r="BB179" s="12" t="str">
        <f>IF(検体毎項目情報!J180="","",検体毎項目情報!J180)</f>
        <v/>
      </c>
      <c r="BC179" s="12" t="str">
        <f>IF(検体毎項目情報!K180="","",検体毎項目情報!K180)</f>
        <v/>
      </c>
      <c r="BD179" s="12" t="str">
        <f>IF(検体毎項目情報!L180="","",検体毎項目情報!L180)</f>
        <v/>
      </c>
      <c r="BE179" s="12" t="str">
        <f>IF(検体毎項目情報!M180="","",検体毎項目情報!M180)</f>
        <v/>
      </c>
      <c r="BF179" s="12" t="str">
        <f>IF(検体毎項目情報!N180="","",検体毎項目情報!N180)</f>
        <v/>
      </c>
      <c r="BG179" s="12" t="str">
        <f>IF(検体毎項目情報!O180="","",検体毎項目情報!O180)</f>
        <v/>
      </c>
      <c r="BH179" s="12" t="str">
        <f>IF(検体毎項目情報!P180="","",検体毎項目情報!P180)</f>
        <v/>
      </c>
      <c r="BI179" s="12" t="str">
        <f>IF(検体毎項目情報!Q180="","",検体毎項目情報!Q180)</f>
        <v/>
      </c>
      <c r="BJ179" s="12" t="str">
        <f>IF(検体毎項目情報!R180="","",検体毎項目情報!R180)</f>
        <v/>
      </c>
      <c r="BK179" s="12" t="str">
        <f>IF(検体毎項目情報!S180="","",検体毎項目情報!S180)</f>
        <v/>
      </c>
      <c r="BL179" s="12" t="str">
        <f>IF(検体毎項目情報!T180="","",検体毎項目情報!T180)</f>
        <v/>
      </c>
      <c r="BM179" s="12" t="str">
        <f>IF(検体毎項目情報!U180="","",検体毎項目情報!U180)</f>
        <v/>
      </c>
      <c r="BN179" s="12" t="str">
        <f>IF(検体毎項目情報!V180="","",検体毎項目情報!V180)</f>
        <v/>
      </c>
      <c r="BO179" s="12" t="str">
        <f>IF(検体毎項目情報!W180="","",検体毎項目情報!W180)</f>
        <v/>
      </c>
      <c r="BP179" s="12" t="str">
        <f>IF(検体毎項目情報!X180="","",検体毎項目情報!X180)</f>
        <v/>
      </c>
    </row>
    <row r="180" spans="44:68">
      <c r="AR180" s="32" t="str">
        <f>IF(AS180="","",COUNTIF(費用項目一覧!A:A,判定詳細!AU180))</f>
        <v/>
      </c>
      <c r="AS180" s="12" t="str">
        <f>IF(検体毎項目情報!A181="","",検体毎項目情報!A181)</f>
        <v/>
      </c>
      <c r="AT180" s="12" t="str">
        <f>IF(検体毎項目情報!B181="","",検体毎項目情報!B181)</f>
        <v/>
      </c>
      <c r="AU180" s="12" t="str">
        <f>IF(検体毎項目情報!C181="","",検体毎項目情報!C181)</f>
        <v/>
      </c>
      <c r="AV180" s="12" t="str">
        <f>IF(検体毎項目情報!D181="","",検体毎項目情報!D181)</f>
        <v/>
      </c>
      <c r="AW180" s="12" t="str">
        <f>IF(検体毎項目情報!E181="","",検体毎項目情報!E181)</f>
        <v/>
      </c>
      <c r="AX180" s="12" t="str">
        <f>IF(検体毎項目情報!F181="","",検体毎項目情報!F181)</f>
        <v/>
      </c>
      <c r="AY180" s="12" t="str">
        <f>IF(検体毎項目情報!G181="","",検体毎項目情報!G181)</f>
        <v/>
      </c>
      <c r="AZ180" s="12" t="str">
        <f>IF(検体毎項目情報!H181="","",検体毎項目情報!H181)</f>
        <v/>
      </c>
      <c r="BA180" s="12" t="str">
        <f>IF(検体毎項目情報!I181="","",検体毎項目情報!I181)</f>
        <v/>
      </c>
      <c r="BB180" s="12" t="str">
        <f>IF(検体毎項目情報!J181="","",検体毎項目情報!J181)</f>
        <v/>
      </c>
      <c r="BC180" s="12" t="str">
        <f>IF(検体毎項目情報!K181="","",検体毎項目情報!K181)</f>
        <v/>
      </c>
      <c r="BD180" s="12" t="str">
        <f>IF(検体毎項目情報!L181="","",検体毎項目情報!L181)</f>
        <v/>
      </c>
      <c r="BE180" s="12" t="str">
        <f>IF(検体毎項目情報!M181="","",検体毎項目情報!M181)</f>
        <v/>
      </c>
      <c r="BF180" s="12" t="str">
        <f>IF(検体毎項目情報!N181="","",検体毎項目情報!N181)</f>
        <v/>
      </c>
      <c r="BG180" s="12" t="str">
        <f>IF(検体毎項目情報!O181="","",検体毎項目情報!O181)</f>
        <v/>
      </c>
      <c r="BH180" s="12" t="str">
        <f>IF(検体毎項目情報!P181="","",検体毎項目情報!P181)</f>
        <v/>
      </c>
      <c r="BI180" s="12" t="str">
        <f>IF(検体毎項目情報!Q181="","",検体毎項目情報!Q181)</f>
        <v/>
      </c>
      <c r="BJ180" s="12" t="str">
        <f>IF(検体毎項目情報!R181="","",検体毎項目情報!R181)</f>
        <v/>
      </c>
      <c r="BK180" s="12" t="str">
        <f>IF(検体毎項目情報!S181="","",検体毎項目情報!S181)</f>
        <v/>
      </c>
      <c r="BL180" s="12" t="str">
        <f>IF(検体毎項目情報!T181="","",検体毎項目情報!T181)</f>
        <v/>
      </c>
      <c r="BM180" s="12" t="str">
        <f>IF(検体毎項目情報!U181="","",検体毎項目情報!U181)</f>
        <v/>
      </c>
      <c r="BN180" s="12" t="str">
        <f>IF(検体毎項目情報!V181="","",検体毎項目情報!V181)</f>
        <v/>
      </c>
      <c r="BO180" s="12" t="str">
        <f>IF(検体毎項目情報!W181="","",検体毎項目情報!W181)</f>
        <v/>
      </c>
      <c r="BP180" s="12" t="str">
        <f>IF(検体毎項目情報!X181="","",検体毎項目情報!X181)</f>
        <v/>
      </c>
    </row>
    <row r="181" spans="44:68">
      <c r="AR181" s="32" t="str">
        <f>IF(AS181="","",COUNTIF(費用項目一覧!A:A,判定詳細!AU181))</f>
        <v/>
      </c>
      <c r="AS181" s="12" t="str">
        <f>IF(検体毎項目情報!A182="","",検体毎項目情報!A182)</f>
        <v/>
      </c>
      <c r="AT181" s="12" t="str">
        <f>IF(検体毎項目情報!B182="","",検体毎項目情報!B182)</f>
        <v/>
      </c>
      <c r="AU181" s="12" t="str">
        <f>IF(検体毎項目情報!C182="","",検体毎項目情報!C182)</f>
        <v/>
      </c>
      <c r="AV181" s="12" t="str">
        <f>IF(検体毎項目情報!D182="","",検体毎項目情報!D182)</f>
        <v/>
      </c>
      <c r="AW181" s="12" t="str">
        <f>IF(検体毎項目情報!E182="","",検体毎項目情報!E182)</f>
        <v/>
      </c>
      <c r="AX181" s="12" t="str">
        <f>IF(検体毎項目情報!F182="","",検体毎項目情報!F182)</f>
        <v/>
      </c>
      <c r="AY181" s="12" t="str">
        <f>IF(検体毎項目情報!G182="","",検体毎項目情報!G182)</f>
        <v/>
      </c>
      <c r="AZ181" s="12" t="str">
        <f>IF(検体毎項目情報!H182="","",検体毎項目情報!H182)</f>
        <v/>
      </c>
      <c r="BA181" s="12" t="str">
        <f>IF(検体毎項目情報!I182="","",検体毎項目情報!I182)</f>
        <v/>
      </c>
      <c r="BB181" s="12" t="str">
        <f>IF(検体毎項目情報!J182="","",検体毎項目情報!J182)</f>
        <v/>
      </c>
      <c r="BC181" s="12" t="str">
        <f>IF(検体毎項目情報!K182="","",検体毎項目情報!K182)</f>
        <v/>
      </c>
      <c r="BD181" s="12" t="str">
        <f>IF(検体毎項目情報!L182="","",検体毎項目情報!L182)</f>
        <v/>
      </c>
      <c r="BE181" s="12" t="str">
        <f>IF(検体毎項目情報!M182="","",検体毎項目情報!M182)</f>
        <v/>
      </c>
      <c r="BF181" s="12" t="str">
        <f>IF(検体毎項目情報!N182="","",検体毎項目情報!N182)</f>
        <v/>
      </c>
      <c r="BG181" s="12" t="str">
        <f>IF(検体毎項目情報!O182="","",検体毎項目情報!O182)</f>
        <v/>
      </c>
      <c r="BH181" s="12" t="str">
        <f>IF(検体毎項目情報!P182="","",検体毎項目情報!P182)</f>
        <v/>
      </c>
      <c r="BI181" s="12" t="str">
        <f>IF(検体毎項目情報!Q182="","",検体毎項目情報!Q182)</f>
        <v/>
      </c>
      <c r="BJ181" s="12" t="str">
        <f>IF(検体毎項目情報!R182="","",検体毎項目情報!R182)</f>
        <v/>
      </c>
      <c r="BK181" s="12" t="str">
        <f>IF(検体毎項目情報!S182="","",検体毎項目情報!S182)</f>
        <v/>
      </c>
      <c r="BL181" s="12" t="str">
        <f>IF(検体毎項目情報!T182="","",検体毎項目情報!T182)</f>
        <v/>
      </c>
      <c r="BM181" s="12" t="str">
        <f>IF(検体毎項目情報!U182="","",検体毎項目情報!U182)</f>
        <v/>
      </c>
      <c r="BN181" s="12" t="str">
        <f>IF(検体毎項目情報!V182="","",検体毎項目情報!V182)</f>
        <v/>
      </c>
      <c r="BO181" s="12" t="str">
        <f>IF(検体毎項目情報!W182="","",検体毎項目情報!W182)</f>
        <v/>
      </c>
      <c r="BP181" s="12" t="str">
        <f>IF(検体毎項目情報!X182="","",検体毎項目情報!X182)</f>
        <v/>
      </c>
    </row>
    <row r="182" spans="44:68">
      <c r="AR182" s="32" t="str">
        <f>IF(AS182="","",COUNTIF(費用項目一覧!A:A,判定詳細!AU182))</f>
        <v/>
      </c>
      <c r="AS182" s="12" t="str">
        <f>IF(検体毎項目情報!A183="","",検体毎項目情報!A183)</f>
        <v/>
      </c>
      <c r="AT182" s="12" t="str">
        <f>IF(検体毎項目情報!B183="","",検体毎項目情報!B183)</f>
        <v/>
      </c>
      <c r="AU182" s="12" t="str">
        <f>IF(検体毎項目情報!C183="","",検体毎項目情報!C183)</f>
        <v/>
      </c>
      <c r="AV182" s="12" t="str">
        <f>IF(検体毎項目情報!D183="","",検体毎項目情報!D183)</f>
        <v/>
      </c>
      <c r="AW182" s="12" t="str">
        <f>IF(検体毎項目情報!E183="","",検体毎項目情報!E183)</f>
        <v/>
      </c>
      <c r="AX182" s="12" t="str">
        <f>IF(検体毎項目情報!F183="","",検体毎項目情報!F183)</f>
        <v/>
      </c>
      <c r="AY182" s="12" t="str">
        <f>IF(検体毎項目情報!G183="","",検体毎項目情報!G183)</f>
        <v/>
      </c>
      <c r="AZ182" s="12" t="str">
        <f>IF(検体毎項目情報!H183="","",検体毎項目情報!H183)</f>
        <v/>
      </c>
      <c r="BA182" s="12" t="str">
        <f>IF(検体毎項目情報!I183="","",検体毎項目情報!I183)</f>
        <v/>
      </c>
      <c r="BB182" s="12" t="str">
        <f>IF(検体毎項目情報!J183="","",検体毎項目情報!J183)</f>
        <v/>
      </c>
      <c r="BC182" s="12" t="str">
        <f>IF(検体毎項目情報!K183="","",検体毎項目情報!K183)</f>
        <v/>
      </c>
      <c r="BD182" s="12" t="str">
        <f>IF(検体毎項目情報!L183="","",検体毎項目情報!L183)</f>
        <v/>
      </c>
      <c r="BE182" s="12" t="str">
        <f>IF(検体毎項目情報!M183="","",検体毎項目情報!M183)</f>
        <v/>
      </c>
      <c r="BF182" s="12" t="str">
        <f>IF(検体毎項目情報!N183="","",検体毎項目情報!N183)</f>
        <v/>
      </c>
      <c r="BG182" s="12" t="str">
        <f>IF(検体毎項目情報!O183="","",検体毎項目情報!O183)</f>
        <v/>
      </c>
      <c r="BH182" s="12" t="str">
        <f>IF(検体毎項目情報!P183="","",検体毎項目情報!P183)</f>
        <v/>
      </c>
      <c r="BI182" s="12" t="str">
        <f>IF(検体毎項目情報!Q183="","",検体毎項目情報!Q183)</f>
        <v/>
      </c>
      <c r="BJ182" s="12" t="str">
        <f>IF(検体毎項目情報!R183="","",検体毎項目情報!R183)</f>
        <v/>
      </c>
      <c r="BK182" s="12" t="str">
        <f>IF(検体毎項目情報!S183="","",検体毎項目情報!S183)</f>
        <v/>
      </c>
      <c r="BL182" s="12" t="str">
        <f>IF(検体毎項目情報!T183="","",検体毎項目情報!T183)</f>
        <v/>
      </c>
      <c r="BM182" s="12" t="str">
        <f>IF(検体毎項目情報!U183="","",検体毎項目情報!U183)</f>
        <v/>
      </c>
      <c r="BN182" s="12" t="str">
        <f>IF(検体毎項目情報!V183="","",検体毎項目情報!V183)</f>
        <v/>
      </c>
      <c r="BO182" s="12" t="str">
        <f>IF(検体毎項目情報!W183="","",検体毎項目情報!W183)</f>
        <v/>
      </c>
      <c r="BP182" s="12" t="str">
        <f>IF(検体毎項目情報!X183="","",検体毎項目情報!X183)</f>
        <v/>
      </c>
    </row>
    <row r="183" spans="44:68">
      <c r="AR183" s="32" t="str">
        <f>IF(AS183="","",COUNTIF(費用項目一覧!A:A,判定詳細!AU183))</f>
        <v/>
      </c>
      <c r="AS183" s="12" t="str">
        <f>IF(検体毎項目情報!A184="","",検体毎項目情報!A184)</f>
        <v/>
      </c>
      <c r="AT183" s="12" t="str">
        <f>IF(検体毎項目情報!B184="","",検体毎項目情報!B184)</f>
        <v/>
      </c>
      <c r="AU183" s="12" t="str">
        <f>IF(検体毎項目情報!C184="","",検体毎項目情報!C184)</f>
        <v/>
      </c>
      <c r="AV183" s="12" t="str">
        <f>IF(検体毎項目情報!D184="","",検体毎項目情報!D184)</f>
        <v/>
      </c>
      <c r="AW183" s="12" t="str">
        <f>IF(検体毎項目情報!E184="","",検体毎項目情報!E184)</f>
        <v/>
      </c>
      <c r="AX183" s="12" t="str">
        <f>IF(検体毎項目情報!F184="","",検体毎項目情報!F184)</f>
        <v/>
      </c>
      <c r="AY183" s="12" t="str">
        <f>IF(検体毎項目情報!G184="","",検体毎項目情報!G184)</f>
        <v/>
      </c>
      <c r="AZ183" s="12" t="str">
        <f>IF(検体毎項目情報!H184="","",検体毎項目情報!H184)</f>
        <v/>
      </c>
      <c r="BA183" s="12" t="str">
        <f>IF(検体毎項目情報!I184="","",検体毎項目情報!I184)</f>
        <v/>
      </c>
      <c r="BB183" s="12" t="str">
        <f>IF(検体毎項目情報!J184="","",検体毎項目情報!J184)</f>
        <v/>
      </c>
      <c r="BC183" s="12" t="str">
        <f>IF(検体毎項目情報!K184="","",検体毎項目情報!K184)</f>
        <v/>
      </c>
      <c r="BD183" s="12" t="str">
        <f>IF(検体毎項目情報!L184="","",検体毎項目情報!L184)</f>
        <v/>
      </c>
      <c r="BE183" s="12" t="str">
        <f>IF(検体毎項目情報!M184="","",検体毎項目情報!M184)</f>
        <v/>
      </c>
      <c r="BF183" s="12" t="str">
        <f>IF(検体毎項目情報!N184="","",検体毎項目情報!N184)</f>
        <v/>
      </c>
      <c r="BG183" s="12" t="str">
        <f>IF(検体毎項目情報!O184="","",検体毎項目情報!O184)</f>
        <v/>
      </c>
      <c r="BH183" s="12" t="str">
        <f>IF(検体毎項目情報!P184="","",検体毎項目情報!P184)</f>
        <v/>
      </c>
      <c r="BI183" s="12" t="str">
        <f>IF(検体毎項目情報!Q184="","",検体毎項目情報!Q184)</f>
        <v/>
      </c>
      <c r="BJ183" s="12" t="str">
        <f>IF(検体毎項目情報!R184="","",検体毎項目情報!R184)</f>
        <v/>
      </c>
      <c r="BK183" s="12" t="str">
        <f>IF(検体毎項目情報!S184="","",検体毎項目情報!S184)</f>
        <v/>
      </c>
      <c r="BL183" s="12" t="str">
        <f>IF(検体毎項目情報!T184="","",検体毎項目情報!T184)</f>
        <v/>
      </c>
      <c r="BM183" s="12" t="str">
        <f>IF(検体毎項目情報!U184="","",検体毎項目情報!U184)</f>
        <v/>
      </c>
      <c r="BN183" s="12" t="str">
        <f>IF(検体毎項目情報!V184="","",検体毎項目情報!V184)</f>
        <v/>
      </c>
      <c r="BO183" s="12" t="str">
        <f>IF(検体毎項目情報!W184="","",検体毎項目情報!W184)</f>
        <v/>
      </c>
      <c r="BP183" s="12" t="str">
        <f>IF(検体毎項目情報!X184="","",検体毎項目情報!X184)</f>
        <v/>
      </c>
    </row>
    <row r="184" spans="44:68">
      <c r="AR184" s="32" t="str">
        <f>IF(AS184="","",COUNTIF(費用項目一覧!A:A,判定詳細!AU184))</f>
        <v/>
      </c>
      <c r="AS184" s="12" t="str">
        <f>IF(検体毎項目情報!A185="","",検体毎項目情報!A185)</f>
        <v/>
      </c>
      <c r="AT184" s="12" t="str">
        <f>IF(検体毎項目情報!B185="","",検体毎項目情報!B185)</f>
        <v/>
      </c>
      <c r="AU184" s="12" t="str">
        <f>IF(検体毎項目情報!C185="","",検体毎項目情報!C185)</f>
        <v/>
      </c>
      <c r="AV184" s="12" t="str">
        <f>IF(検体毎項目情報!D185="","",検体毎項目情報!D185)</f>
        <v/>
      </c>
      <c r="AW184" s="12" t="str">
        <f>IF(検体毎項目情報!E185="","",検体毎項目情報!E185)</f>
        <v/>
      </c>
      <c r="AX184" s="12" t="str">
        <f>IF(検体毎項目情報!F185="","",検体毎項目情報!F185)</f>
        <v/>
      </c>
      <c r="AY184" s="12" t="str">
        <f>IF(検体毎項目情報!G185="","",検体毎項目情報!G185)</f>
        <v/>
      </c>
      <c r="AZ184" s="12" t="str">
        <f>IF(検体毎項目情報!H185="","",検体毎項目情報!H185)</f>
        <v/>
      </c>
      <c r="BA184" s="12" t="str">
        <f>IF(検体毎項目情報!I185="","",検体毎項目情報!I185)</f>
        <v/>
      </c>
      <c r="BB184" s="12" t="str">
        <f>IF(検体毎項目情報!J185="","",検体毎項目情報!J185)</f>
        <v/>
      </c>
      <c r="BC184" s="12" t="str">
        <f>IF(検体毎項目情報!K185="","",検体毎項目情報!K185)</f>
        <v/>
      </c>
      <c r="BD184" s="12" t="str">
        <f>IF(検体毎項目情報!L185="","",検体毎項目情報!L185)</f>
        <v/>
      </c>
      <c r="BE184" s="12" t="str">
        <f>IF(検体毎項目情報!M185="","",検体毎項目情報!M185)</f>
        <v/>
      </c>
      <c r="BF184" s="12" t="str">
        <f>IF(検体毎項目情報!N185="","",検体毎項目情報!N185)</f>
        <v/>
      </c>
      <c r="BG184" s="12" t="str">
        <f>IF(検体毎項目情報!O185="","",検体毎項目情報!O185)</f>
        <v/>
      </c>
      <c r="BH184" s="12" t="str">
        <f>IF(検体毎項目情報!P185="","",検体毎項目情報!P185)</f>
        <v/>
      </c>
      <c r="BI184" s="12" t="str">
        <f>IF(検体毎項目情報!Q185="","",検体毎項目情報!Q185)</f>
        <v/>
      </c>
      <c r="BJ184" s="12" t="str">
        <f>IF(検体毎項目情報!R185="","",検体毎項目情報!R185)</f>
        <v/>
      </c>
      <c r="BK184" s="12" t="str">
        <f>IF(検体毎項目情報!S185="","",検体毎項目情報!S185)</f>
        <v/>
      </c>
      <c r="BL184" s="12" t="str">
        <f>IF(検体毎項目情報!T185="","",検体毎項目情報!T185)</f>
        <v/>
      </c>
      <c r="BM184" s="12" t="str">
        <f>IF(検体毎項目情報!U185="","",検体毎項目情報!U185)</f>
        <v/>
      </c>
      <c r="BN184" s="12" t="str">
        <f>IF(検体毎項目情報!V185="","",検体毎項目情報!V185)</f>
        <v/>
      </c>
      <c r="BO184" s="12" t="str">
        <f>IF(検体毎項目情報!W185="","",検体毎項目情報!W185)</f>
        <v/>
      </c>
      <c r="BP184" s="12" t="str">
        <f>IF(検体毎項目情報!X185="","",検体毎項目情報!X185)</f>
        <v/>
      </c>
    </row>
    <row r="185" spans="44:68">
      <c r="AR185" s="32" t="str">
        <f>IF(AS185="","",COUNTIF(費用項目一覧!A:A,判定詳細!AU185))</f>
        <v/>
      </c>
      <c r="AS185" s="12" t="str">
        <f>IF(検体毎項目情報!A186="","",検体毎項目情報!A186)</f>
        <v/>
      </c>
      <c r="AT185" s="12" t="str">
        <f>IF(検体毎項目情報!B186="","",検体毎項目情報!B186)</f>
        <v/>
      </c>
      <c r="AU185" s="12" t="str">
        <f>IF(検体毎項目情報!C186="","",検体毎項目情報!C186)</f>
        <v/>
      </c>
      <c r="AV185" s="12" t="str">
        <f>IF(検体毎項目情報!D186="","",検体毎項目情報!D186)</f>
        <v/>
      </c>
      <c r="AW185" s="12" t="str">
        <f>IF(検体毎項目情報!E186="","",検体毎項目情報!E186)</f>
        <v/>
      </c>
      <c r="AX185" s="12" t="str">
        <f>IF(検体毎項目情報!F186="","",検体毎項目情報!F186)</f>
        <v/>
      </c>
      <c r="AY185" s="12" t="str">
        <f>IF(検体毎項目情報!G186="","",検体毎項目情報!G186)</f>
        <v/>
      </c>
      <c r="AZ185" s="12" t="str">
        <f>IF(検体毎項目情報!H186="","",検体毎項目情報!H186)</f>
        <v/>
      </c>
      <c r="BA185" s="12" t="str">
        <f>IF(検体毎項目情報!I186="","",検体毎項目情報!I186)</f>
        <v/>
      </c>
      <c r="BB185" s="12" t="str">
        <f>IF(検体毎項目情報!J186="","",検体毎項目情報!J186)</f>
        <v/>
      </c>
      <c r="BC185" s="12" t="str">
        <f>IF(検体毎項目情報!K186="","",検体毎項目情報!K186)</f>
        <v/>
      </c>
      <c r="BD185" s="12" t="str">
        <f>IF(検体毎項目情報!L186="","",検体毎項目情報!L186)</f>
        <v/>
      </c>
      <c r="BE185" s="12" t="str">
        <f>IF(検体毎項目情報!M186="","",検体毎項目情報!M186)</f>
        <v/>
      </c>
      <c r="BF185" s="12" t="str">
        <f>IF(検体毎項目情報!N186="","",検体毎項目情報!N186)</f>
        <v/>
      </c>
      <c r="BG185" s="12" t="str">
        <f>IF(検体毎項目情報!O186="","",検体毎項目情報!O186)</f>
        <v/>
      </c>
      <c r="BH185" s="12" t="str">
        <f>IF(検体毎項目情報!P186="","",検体毎項目情報!P186)</f>
        <v/>
      </c>
      <c r="BI185" s="12" t="str">
        <f>IF(検体毎項目情報!Q186="","",検体毎項目情報!Q186)</f>
        <v/>
      </c>
      <c r="BJ185" s="12" t="str">
        <f>IF(検体毎項目情報!R186="","",検体毎項目情報!R186)</f>
        <v/>
      </c>
      <c r="BK185" s="12" t="str">
        <f>IF(検体毎項目情報!S186="","",検体毎項目情報!S186)</f>
        <v/>
      </c>
      <c r="BL185" s="12" t="str">
        <f>IF(検体毎項目情報!T186="","",検体毎項目情報!T186)</f>
        <v/>
      </c>
      <c r="BM185" s="12" t="str">
        <f>IF(検体毎項目情報!U186="","",検体毎項目情報!U186)</f>
        <v/>
      </c>
      <c r="BN185" s="12" t="str">
        <f>IF(検体毎項目情報!V186="","",検体毎項目情報!V186)</f>
        <v/>
      </c>
      <c r="BO185" s="12" t="str">
        <f>IF(検体毎項目情報!W186="","",検体毎項目情報!W186)</f>
        <v/>
      </c>
      <c r="BP185" s="12" t="str">
        <f>IF(検体毎項目情報!X186="","",検体毎項目情報!X186)</f>
        <v/>
      </c>
    </row>
    <row r="186" spans="44:68">
      <c r="AR186" s="32" t="str">
        <f>IF(AS186="","",COUNTIF(費用項目一覧!A:A,判定詳細!AU186))</f>
        <v/>
      </c>
      <c r="AS186" s="12" t="str">
        <f>IF(検体毎項目情報!A187="","",検体毎項目情報!A187)</f>
        <v/>
      </c>
      <c r="AT186" s="12" t="str">
        <f>IF(検体毎項目情報!B187="","",検体毎項目情報!B187)</f>
        <v/>
      </c>
      <c r="AU186" s="12" t="str">
        <f>IF(検体毎項目情報!C187="","",検体毎項目情報!C187)</f>
        <v/>
      </c>
      <c r="AV186" s="12" t="str">
        <f>IF(検体毎項目情報!D187="","",検体毎項目情報!D187)</f>
        <v/>
      </c>
      <c r="AW186" s="12" t="str">
        <f>IF(検体毎項目情報!E187="","",検体毎項目情報!E187)</f>
        <v/>
      </c>
      <c r="AX186" s="12" t="str">
        <f>IF(検体毎項目情報!F187="","",検体毎項目情報!F187)</f>
        <v/>
      </c>
      <c r="AY186" s="12" t="str">
        <f>IF(検体毎項目情報!G187="","",検体毎項目情報!G187)</f>
        <v/>
      </c>
      <c r="AZ186" s="12" t="str">
        <f>IF(検体毎項目情報!H187="","",検体毎項目情報!H187)</f>
        <v/>
      </c>
      <c r="BA186" s="12" t="str">
        <f>IF(検体毎項目情報!I187="","",検体毎項目情報!I187)</f>
        <v/>
      </c>
      <c r="BB186" s="12" t="str">
        <f>IF(検体毎項目情報!J187="","",検体毎項目情報!J187)</f>
        <v/>
      </c>
      <c r="BC186" s="12" t="str">
        <f>IF(検体毎項目情報!K187="","",検体毎項目情報!K187)</f>
        <v/>
      </c>
      <c r="BD186" s="12" t="str">
        <f>IF(検体毎項目情報!L187="","",検体毎項目情報!L187)</f>
        <v/>
      </c>
      <c r="BE186" s="12" t="str">
        <f>IF(検体毎項目情報!M187="","",検体毎項目情報!M187)</f>
        <v/>
      </c>
      <c r="BF186" s="12" t="str">
        <f>IF(検体毎項目情報!N187="","",検体毎項目情報!N187)</f>
        <v/>
      </c>
      <c r="BG186" s="12" t="str">
        <f>IF(検体毎項目情報!O187="","",検体毎項目情報!O187)</f>
        <v/>
      </c>
      <c r="BH186" s="12" t="str">
        <f>IF(検体毎項目情報!P187="","",検体毎項目情報!P187)</f>
        <v/>
      </c>
      <c r="BI186" s="12" t="str">
        <f>IF(検体毎項目情報!Q187="","",検体毎項目情報!Q187)</f>
        <v/>
      </c>
      <c r="BJ186" s="12" t="str">
        <f>IF(検体毎項目情報!R187="","",検体毎項目情報!R187)</f>
        <v/>
      </c>
      <c r="BK186" s="12" t="str">
        <f>IF(検体毎項目情報!S187="","",検体毎項目情報!S187)</f>
        <v/>
      </c>
      <c r="BL186" s="12" t="str">
        <f>IF(検体毎項目情報!T187="","",検体毎項目情報!T187)</f>
        <v/>
      </c>
      <c r="BM186" s="12" t="str">
        <f>IF(検体毎項目情報!U187="","",検体毎項目情報!U187)</f>
        <v/>
      </c>
      <c r="BN186" s="12" t="str">
        <f>IF(検体毎項目情報!V187="","",検体毎項目情報!V187)</f>
        <v/>
      </c>
      <c r="BO186" s="12" t="str">
        <f>IF(検体毎項目情報!W187="","",検体毎項目情報!W187)</f>
        <v/>
      </c>
      <c r="BP186" s="12" t="str">
        <f>IF(検体毎項目情報!X187="","",検体毎項目情報!X187)</f>
        <v/>
      </c>
    </row>
    <row r="187" spans="44:68">
      <c r="AR187" s="32" t="str">
        <f>IF(AS187="","",COUNTIF(費用項目一覧!A:A,判定詳細!AU187))</f>
        <v/>
      </c>
      <c r="AS187" s="12" t="str">
        <f>IF(検体毎項目情報!A188="","",検体毎項目情報!A188)</f>
        <v/>
      </c>
      <c r="AT187" s="12" t="str">
        <f>IF(検体毎項目情報!B188="","",検体毎項目情報!B188)</f>
        <v/>
      </c>
      <c r="AU187" s="12" t="str">
        <f>IF(検体毎項目情報!C188="","",検体毎項目情報!C188)</f>
        <v/>
      </c>
      <c r="AV187" s="12" t="str">
        <f>IF(検体毎項目情報!D188="","",検体毎項目情報!D188)</f>
        <v/>
      </c>
      <c r="AW187" s="12" t="str">
        <f>IF(検体毎項目情報!E188="","",検体毎項目情報!E188)</f>
        <v/>
      </c>
      <c r="AX187" s="12" t="str">
        <f>IF(検体毎項目情報!F188="","",検体毎項目情報!F188)</f>
        <v/>
      </c>
      <c r="AY187" s="12" t="str">
        <f>IF(検体毎項目情報!G188="","",検体毎項目情報!G188)</f>
        <v/>
      </c>
      <c r="AZ187" s="12" t="str">
        <f>IF(検体毎項目情報!H188="","",検体毎項目情報!H188)</f>
        <v/>
      </c>
      <c r="BA187" s="12" t="str">
        <f>IF(検体毎項目情報!I188="","",検体毎項目情報!I188)</f>
        <v/>
      </c>
      <c r="BB187" s="12" t="str">
        <f>IF(検体毎項目情報!J188="","",検体毎項目情報!J188)</f>
        <v/>
      </c>
      <c r="BC187" s="12" t="str">
        <f>IF(検体毎項目情報!K188="","",検体毎項目情報!K188)</f>
        <v/>
      </c>
      <c r="BD187" s="12" t="str">
        <f>IF(検体毎項目情報!L188="","",検体毎項目情報!L188)</f>
        <v/>
      </c>
      <c r="BE187" s="12" t="str">
        <f>IF(検体毎項目情報!M188="","",検体毎項目情報!M188)</f>
        <v/>
      </c>
      <c r="BF187" s="12" t="str">
        <f>IF(検体毎項目情報!N188="","",検体毎項目情報!N188)</f>
        <v/>
      </c>
      <c r="BG187" s="12" t="str">
        <f>IF(検体毎項目情報!O188="","",検体毎項目情報!O188)</f>
        <v/>
      </c>
      <c r="BH187" s="12" t="str">
        <f>IF(検体毎項目情報!P188="","",検体毎項目情報!P188)</f>
        <v/>
      </c>
      <c r="BI187" s="12" t="str">
        <f>IF(検体毎項目情報!Q188="","",検体毎項目情報!Q188)</f>
        <v/>
      </c>
      <c r="BJ187" s="12" t="str">
        <f>IF(検体毎項目情報!R188="","",検体毎項目情報!R188)</f>
        <v/>
      </c>
      <c r="BK187" s="12" t="str">
        <f>IF(検体毎項目情報!S188="","",検体毎項目情報!S188)</f>
        <v/>
      </c>
      <c r="BL187" s="12" t="str">
        <f>IF(検体毎項目情報!T188="","",検体毎項目情報!T188)</f>
        <v/>
      </c>
      <c r="BM187" s="12" t="str">
        <f>IF(検体毎項目情報!U188="","",検体毎項目情報!U188)</f>
        <v/>
      </c>
      <c r="BN187" s="12" t="str">
        <f>IF(検体毎項目情報!V188="","",検体毎項目情報!V188)</f>
        <v/>
      </c>
      <c r="BO187" s="12" t="str">
        <f>IF(検体毎項目情報!W188="","",検体毎項目情報!W188)</f>
        <v/>
      </c>
      <c r="BP187" s="12" t="str">
        <f>IF(検体毎項目情報!X188="","",検体毎項目情報!X188)</f>
        <v/>
      </c>
    </row>
    <row r="188" spans="44:68">
      <c r="AR188" s="32" t="str">
        <f>IF(AS188="","",COUNTIF(費用項目一覧!A:A,判定詳細!AU188))</f>
        <v/>
      </c>
      <c r="AS188" s="12" t="str">
        <f>IF(検体毎項目情報!A189="","",検体毎項目情報!A189)</f>
        <v/>
      </c>
      <c r="AT188" s="12" t="str">
        <f>IF(検体毎項目情報!B189="","",検体毎項目情報!B189)</f>
        <v/>
      </c>
      <c r="AU188" s="12" t="str">
        <f>IF(検体毎項目情報!C189="","",検体毎項目情報!C189)</f>
        <v/>
      </c>
      <c r="AV188" s="12" t="str">
        <f>IF(検体毎項目情報!D189="","",検体毎項目情報!D189)</f>
        <v/>
      </c>
      <c r="AW188" s="12" t="str">
        <f>IF(検体毎項目情報!E189="","",検体毎項目情報!E189)</f>
        <v/>
      </c>
      <c r="AX188" s="12" t="str">
        <f>IF(検体毎項目情報!F189="","",検体毎項目情報!F189)</f>
        <v/>
      </c>
      <c r="AY188" s="12" t="str">
        <f>IF(検体毎項目情報!G189="","",検体毎項目情報!G189)</f>
        <v/>
      </c>
      <c r="AZ188" s="12" t="str">
        <f>IF(検体毎項目情報!H189="","",検体毎項目情報!H189)</f>
        <v/>
      </c>
      <c r="BA188" s="12" t="str">
        <f>IF(検体毎項目情報!I189="","",検体毎項目情報!I189)</f>
        <v/>
      </c>
      <c r="BB188" s="12" t="str">
        <f>IF(検体毎項目情報!J189="","",検体毎項目情報!J189)</f>
        <v/>
      </c>
      <c r="BC188" s="12" t="str">
        <f>IF(検体毎項目情報!K189="","",検体毎項目情報!K189)</f>
        <v/>
      </c>
      <c r="BD188" s="12" t="str">
        <f>IF(検体毎項目情報!L189="","",検体毎項目情報!L189)</f>
        <v/>
      </c>
      <c r="BE188" s="12" t="str">
        <f>IF(検体毎項目情報!M189="","",検体毎項目情報!M189)</f>
        <v/>
      </c>
      <c r="BF188" s="12" t="str">
        <f>IF(検体毎項目情報!N189="","",検体毎項目情報!N189)</f>
        <v/>
      </c>
      <c r="BG188" s="12" t="str">
        <f>IF(検体毎項目情報!O189="","",検体毎項目情報!O189)</f>
        <v/>
      </c>
      <c r="BH188" s="12" t="str">
        <f>IF(検体毎項目情報!P189="","",検体毎項目情報!P189)</f>
        <v/>
      </c>
      <c r="BI188" s="12" t="str">
        <f>IF(検体毎項目情報!Q189="","",検体毎項目情報!Q189)</f>
        <v/>
      </c>
      <c r="BJ188" s="12" t="str">
        <f>IF(検体毎項目情報!R189="","",検体毎項目情報!R189)</f>
        <v/>
      </c>
      <c r="BK188" s="12" t="str">
        <f>IF(検体毎項目情報!S189="","",検体毎項目情報!S189)</f>
        <v/>
      </c>
      <c r="BL188" s="12" t="str">
        <f>IF(検体毎項目情報!T189="","",検体毎項目情報!T189)</f>
        <v/>
      </c>
      <c r="BM188" s="12" t="str">
        <f>IF(検体毎項目情報!U189="","",検体毎項目情報!U189)</f>
        <v/>
      </c>
      <c r="BN188" s="12" t="str">
        <f>IF(検体毎項目情報!V189="","",検体毎項目情報!V189)</f>
        <v/>
      </c>
      <c r="BO188" s="12" t="str">
        <f>IF(検体毎項目情報!W189="","",検体毎項目情報!W189)</f>
        <v/>
      </c>
      <c r="BP188" s="12" t="str">
        <f>IF(検体毎項目情報!X189="","",検体毎項目情報!X189)</f>
        <v/>
      </c>
    </row>
    <row r="189" spans="44:68">
      <c r="AR189" s="32" t="str">
        <f>IF(AS189="","",COUNTIF(費用項目一覧!A:A,判定詳細!AU189))</f>
        <v/>
      </c>
      <c r="AS189" s="12" t="str">
        <f>IF(検体毎項目情報!A190="","",検体毎項目情報!A190)</f>
        <v/>
      </c>
      <c r="AT189" s="12" t="str">
        <f>IF(検体毎項目情報!B190="","",検体毎項目情報!B190)</f>
        <v/>
      </c>
      <c r="AU189" s="12" t="str">
        <f>IF(検体毎項目情報!C190="","",検体毎項目情報!C190)</f>
        <v/>
      </c>
      <c r="AV189" s="12" t="str">
        <f>IF(検体毎項目情報!D190="","",検体毎項目情報!D190)</f>
        <v/>
      </c>
      <c r="AW189" s="12" t="str">
        <f>IF(検体毎項目情報!E190="","",検体毎項目情報!E190)</f>
        <v/>
      </c>
      <c r="AX189" s="12" t="str">
        <f>IF(検体毎項目情報!F190="","",検体毎項目情報!F190)</f>
        <v/>
      </c>
      <c r="AY189" s="12" t="str">
        <f>IF(検体毎項目情報!G190="","",検体毎項目情報!G190)</f>
        <v/>
      </c>
      <c r="AZ189" s="12" t="str">
        <f>IF(検体毎項目情報!H190="","",検体毎項目情報!H190)</f>
        <v/>
      </c>
      <c r="BA189" s="12" t="str">
        <f>IF(検体毎項目情報!I190="","",検体毎項目情報!I190)</f>
        <v/>
      </c>
      <c r="BB189" s="12" t="str">
        <f>IF(検体毎項目情報!J190="","",検体毎項目情報!J190)</f>
        <v/>
      </c>
      <c r="BC189" s="12" t="str">
        <f>IF(検体毎項目情報!K190="","",検体毎項目情報!K190)</f>
        <v/>
      </c>
      <c r="BD189" s="12" t="str">
        <f>IF(検体毎項目情報!L190="","",検体毎項目情報!L190)</f>
        <v/>
      </c>
      <c r="BE189" s="12" t="str">
        <f>IF(検体毎項目情報!M190="","",検体毎項目情報!M190)</f>
        <v/>
      </c>
      <c r="BF189" s="12" t="str">
        <f>IF(検体毎項目情報!N190="","",検体毎項目情報!N190)</f>
        <v/>
      </c>
      <c r="BG189" s="12" t="str">
        <f>IF(検体毎項目情報!O190="","",検体毎項目情報!O190)</f>
        <v/>
      </c>
      <c r="BH189" s="12" t="str">
        <f>IF(検体毎項目情報!P190="","",検体毎項目情報!P190)</f>
        <v/>
      </c>
      <c r="BI189" s="12" t="str">
        <f>IF(検体毎項目情報!Q190="","",検体毎項目情報!Q190)</f>
        <v/>
      </c>
      <c r="BJ189" s="12" t="str">
        <f>IF(検体毎項目情報!R190="","",検体毎項目情報!R190)</f>
        <v/>
      </c>
      <c r="BK189" s="12" t="str">
        <f>IF(検体毎項目情報!S190="","",検体毎項目情報!S190)</f>
        <v/>
      </c>
      <c r="BL189" s="12" t="str">
        <f>IF(検体毎項目情報!T190="","",検体毎項目情報!T190)</f>
        <v/>
      </c>
      <c r="BM189" s="12" t="str">
        <f>IF(検体毎項目情報!U190="","",検体毎項目情報!U190)</f>
        <v/>
      </c>
      <c r="BN189" s="12" t="str">
        <f>IF(検体毎項目情報!V190="","",検体毎項目情報!V190)</f>
        <v/>
      </c>
      <c r="BO189" s="12" t="str">
        <f>IF(検体毎項目情報!W190="","",検体毎項目情報!W190)</f>
        <v/>
      </c>
      <c r="BP189" s="12" t="str">
        <f>IF(検体毎項目情報!X190="","",検体毎項目情報!X190)</f>
        <v/>
      </c>
    </row>
    <row r="190" spans="44:68">
      <c r="AR190" s="32" t="str">
        <f>IF(AS190="","",COUNTIF(費用項目一覧!A:A,判定詳細!AU190))</f>
        <v/>
      </c>
      <c r="AS190" s="12" t="str">
        <f>IF(検体毎項目情報!A191="","",検体毎項目情報!A191)</f>
        <v/>
      </c>
      <c r="AT190" s="12" t="str">
        <f>IF(検体毎項目情報!B191="","",検体毎項目情報!B191)</f>
        <v/>
      </c>
      <c r="AU190" s="12" t="str">
        <f>IF(検体毎項目情報!C191="","",検体毎項目情報!C191)</f>
        <v/>
      </c>
      <c r="AV190" s="12" t="str">
        <f>IF(検体毎項目情報!D191="","",検体毎項目情報!D191)</f>
        <v/>
      </c>
      <c r="AW190" s="12" t="str">
        <f>IF(検体毎項目情報!E191="","",検体毎項目情報!E191)</f>
        <v/>
      </c>
      <c r="AX190" s="12" t="str">
        <f>IF(検体毎項目情報!F191="","",検体毎項目情報!F191)</f>
        <v/>
      </c>
      <c r="AY190" s="12" t="str">
        <f>IF(検体毎項目情報!G191="","",検体毎項目情報!G191)</f>
        <v/>
      </c>
      <c r="AZ190" s="12" t="str">
        <f>IF(検体毎項目情報!H191="","",検体毎項目情報!H191)</f>
        <v/>
      </c>
      <c r="BA190" s="12" t="str">
        <f>IF(検体毎項目情報!I191="","",検体毎項目情報!I191)</f>
        <v/>
      </c>
      <c r="BB190" s="12" t="str">
        <f>IF(検体毎項目情報!J191="","",検体毎項目情報!J191)</f>
        <v/>
      </c>
      <c r="BC190" s="12" t="str">
        <f>IF(検体毎項目情報!K191="","",検体毎項目情報!K191)</f>
        <v/>
      </c>
      <c r="BD190" s="12" t="str">
        <f>IF(検体毎項目情報!L191="","",検体毎項目情報!L191)</f>
        <v/>
      </c>
      <c r="BE190" s="12" t="str">
        <f>IF(検体毎項目情報!M191="","",検体毎項目情報!M191)</f>
        <v/>
      </c>
      <c r="BF190" s="12" t="str">
        <f>IF(検体毎項目情報!N191="","",検体毎項目情報!N191)</f>
        <v/>
      </c>
      <c r="BG190" s="12" t="str">
        <f>IF(検体毎項目情報!O191="","",検体毎項目情報!O191)</f>
        <v/>
      </c>
      <c r="BH190" s="12" t="str">
        <f>IF(検体毎項目情報!P191="","",検体毎項目情報!P191)</f>
        <v/>
      </c>
      <c r="BI190" s="12" t="str">
        <f>IF(検体毎項目情報!Q191="","",検体毎項目情報!Q191)</f>
        <v/>
      </c>
      <c r="BJ190" s="12" t="str">
        <f>IF(検体毎項目情報!R191="","",検体毎項目情報!R191)</f>
        <v/>
      </c>
      <c r="BK190" s="12" t="str">
        <f>IF(検体毎項目情報!S191="","",検体毎項目情報!S191)</f>
        <v/>
      </c>
      <c r="BL190" s="12" t="str">
        <f>IF(検体毎項目情報!T191="","",検体毎項目情報!T191)</f>
        <v/>
      </c>
      <c r="BM190" s="12" t="str">
        <f>IF(検体毎項目情報!U191="","",検体毎項目情報!U191)</f>
        <v/>
      </c>
      <c r="BN190" s="12" t="str">
        <f>IF(検体毎項目情報!V191="","",検体毎項目情報!V191)</f>
        <v/>
      </c>
      <c r="BO190" s="12" t="str">
        <f>IF(検体毎項目情報!W191="","",検体毎項目情報!W191)</f>
        <v/>
      </c>
      <c r="BP190" s="12" t="str">
        <f>IF(検体毎項目情報!X191="","",検体毎項目情報!X191)</f>
        <v/>
      </c>
    </row>
    <row r="191" spans="44:68">
      <c r="AR191" s="32" t="str">
        <f>IF(AS191="","",COUNTIF(費用項目一覧!A:A,判定詳細!AU191))</f>
        <v/>
      </c>
      <c r="AS191" s="12" t="str">
        <f>IF(検体毎項目情報!A192="","",検体毎項目情報!A192)</f>
        <v/>
      </c>
      <c r="AT191" s="12" t="str">
        <f>IF(検体毎項目情報!B192="","",検体毎項目情報!B192)</f>
        <v/>
      </c>
      <c r="AU191" s="12" t="str">
        <f>IF(検体毎項目情報!C192="","",検体毎項目情報!C192)</f>
        <v/>
      </c>
      <c r="AV191" s="12" t="str">
        <f>IF(検体毎項目情報!D192="","",検体毎項目情報!D192)</f>
        <v/>
      </c>
      <c r="AW191" s="12" t="str">
        <f>IF(検体毎項目情報!E192="","",検体毎項目情報!E192)</f>
        <v/>
      </c>
      <c r="AX191" s="12" t="str">
        <f>IF(検体毎項目情報!F192="","",検体毎項目情報!F192)</f>
        <v/>
      </c>
      <c r="AY191" s="12" t="str">
        <f>IF(検体毎項目情報!G192="","",検体毎項目情報!G192)</f>
        <v/>
      </c>
      <c r="AZ191" s="12" t="str">
        <f>IF(検体毎項目情報!H192="","",検体毎項目情報!H192)</f>
        <v/>
      </c>
      <c r="BA191" s="12" t="str">
        <f>IF(検体毎項目情報!I192="","",検体毎項目情報!I192)</f>
        <v/>
      </c>
      <c r="BB191" s="12" t="str">
        <f>IF(検体毎項目情報!J192="","",検体毎項目情報!J192)</f>
        <v/>
      </c>
      <c r="BC191" s="12" t="str">
        <f>IF(検体毎項目情報!K192="","",検体毎項目情報!K192)</f>
        <v/>
      </c>
      <c r="BD191" s="12" t="str">
        <f>IF(検体毎項目情報!L192="","",検体毎項目情報!L192)</f>
        <v/>
      </c>
      <c r="BE191" s="12" t="str">
        <f>IF(検体毎項目情報!M192="","",検体毎項目情報!M192)</f>
        <v/>
      </c>
      <c r="BF191" s="12" t="str">
        <f>IF(検体毎項目情報!N192="","",検体毎項目情報!N192)</f>
        <v/>
      </c>
      <c r="BG191" s="12" t="str">
        <f>IF(検体毎項目情報!O192="","",検体毎項目情報!O192)</f>
        <v/>
      </c>
      <c r="BH191" s="12" t="str">
        <f>IF(検体毎項目情報!P192="","",検体毎項目情報!P192)</f>
        <v/>
      </c>
      <c r="BI191" s="12" t="str">
        <f>IF(検体毎項目情報!Q192="","",検体毎項目情報!Q192)</f>
        <v/>
      </c>
      <c r="BJ191" s="12" t="str">
        <f>IF(検体毎項目情報!R192="","",検体毎項目情報!R192)</f>
        <v/>
      </c>
      <c r="BK191" s="12" t="str">
        <f>IF(検体毎項目情報!S192="","",検体毎項目情報!S192)</f>
        <v/>
      </c>
      <c r="BL191" s="12" t="str">
        <f>IF(検体毎項目情報!T192="","",検体毎項目情報!T192)</f>
        <v/>
      </c>
      <c r="BM191" s="12" t="str">
        <f>IF(検体毎項目情報!U192="","",検体毎項目情報!U192)</f>
        <v/>
      </c>
      <c r="BN191" s="12" t="str">
        <f>IF(検体毎項目情報!V192="","",検体毎項目情報!V192)</f>
        <v/>
      </c>
      <c r="BO191" s="12" t="str">
        <f>IF(検体毎項目情報!W192="","",検体毎項目情報!W192)</f>
        <v/>
      </c>
      <c r="BP191" s="12" t="str">
        <f>IF(検体毎項目情報!X192="","",検体毎項目情報!X192)</f>
        <v/>
      </c>
    </row>
    <row r="192" spans="44:68">
      <c r="AR192" s="32" t="str">
        <f>IF(AS192="","",COUNTIF(費用項目一覧!A:A,判定詳細!AU192))</f>
        <v/>
      </c>
      <c r="AS192" s="12" t="str">
        <f>IF(検体毎項目情報!A193="","",検体毎項目情報!A193)</f>
        <v/>
      </c>
      <c r="AT192" s="12" t="str">
        <f>IF(検体毎項目情報!B193="","",検体毎項目情報!B193)</f>
        <v/>
      </c>
      <c r="AU192" s="12" t="str">
        <f>IF(検体毎項目情報!C193="","",検体毎項目情報!C193)</f>
        <v/>
      </c>
      <c r="AV192" s="12" t="str">
        <f>IF(検体毎項目情報!D193="","",検体毎項目情報!D193)</f>
        <v/>
      </c>
      <c r="AW192" s="12" t="str">
        <f>IF(検体毎項目情報!E193="","",検体毎項目情報!E193)</f>
        <v/>
      </c>
      <c r="AX192" s="12" t="str">
        <f>IF(検体毎項目情報!F193="","",検体毎項目情報!F193)</f>
        <v/>
      </c>
      <c r="AY192" s="12" t="str">
        <f>IF(検体毎項目情報!G193="","",検体毎項目情報!G193)</f>
        <v/>
      </c>
      <c r="AZ192" s="12" t="str">
        <f>IF(検体毎項目情報!H193="","",検体毎項目情報!H193)</f>
        <v/>
      </c>
      <c r="BA192" s="12" t="str">
        <f>IF(検体毎項目情報!I193="","",検体毎項目情報!I193)</f>
        <v/>
      </c>
      <c r="BB192" s="12" t="str">
        <f>IF(検体毎項目情報!J193="","",検体毎項目情報!J193)</f>
        <v/>
      </c>
      <c r="BC192" s="12" t="str">
        <f>IF(検体毎項目情報!K193="","",検体毎項目情報!K193)</f>
        <v/>
      </c>
      <c r="BD192" s="12" t="str">
        <f>IF(検体毎項目情報!L193="","",検体毎項目情報!L193)</f>
        <v/>
      </c>
      <c r="BE192" s="12" t="str">
        <f>IF(検体毎項目情報!M193="","",検体毎項目情報!M193)</f>
        <v/>
      </c>
      <c r="BF192" s="12" t="str">
        <f>IF(検体毎項目情報!N193="","",検体毎項目情報!N193)</f>
        <v/>
      </c>
      <c r="BG192" s="12" t="str">
        <f>IF(検体毎項目情報!O193="","",検体毎項目情報!O193)</f>
        <v/>
      </c>
      <c r="BH192" s="12" t="str">
        <f>IF(検体毎項目情報!P193="","",検体毎項目情報!P193)</f>
        <v/>
      </c>
      <c r="BI192" s="12" t="str">
        <f>IF(検体毎項目情報!Q193="","",検体毎項目情報!Q193)</f>
        <v/>
      </c>
      <c r="BJ192" s="12" t="str">
        <f>IF(検体毎項目情報!R193="","",検体毎項目情報!R193)</f>
        <v/>
      </c>
      <c r="BK192" s="12" t="str">
        <f>IF(検体毎項目情報!S193="","",検体毎項目情報!S193)</f>
        <v/>
      </c>
      <c r="BL192" s="12" t="str">
        <f>IF(検体毎項目情報!T193="","",検体毎項目情報!T193)</f>
        <v/>
      </c>
      <c r="BM192" s="12" t="str">
        <f>IF(検体毎項目情報!U193="","",検体毎項目情報!U193)</f>
        <v/>
      </c>
      <c r="BN192" s="12" t="str">
        <f>IF(検体毎項目情報!V193="","",検体毎項目情報!V193)</f>
        <v/>
      </c>
      <c r="BO192" s="12" t="str">
        <f>IF(検体毎項目情報!W193="","",検体毎項目情報!W193)</f>
        <v/>
      </c>
      <c r="BP192" s="12" t="str">
        <f>IF(検体毎項目情報!X193="","",検体毎項目情報!X193)</f>
        <v/>
      </c>
    </row>
    <row r="193" spans="44:68">
      <c r="AR193" s="32" t="str">
        <f>IF(AS193="","",COUNTIF(費用項目一覧!A:A,判定詳細!AU193))</f>
        <v/>
      </c>
      <c r="AS193" s="12" t="str">
        <f>IF(検体毎項目情報!A194="","",検体毎項目情報!A194)</f>
        <v/>
      </c>
      <c r="AT193" s="12" t="str">
        <f>IF(検体毎項目情報!B194="","",検体毎項目情報!B194)</f>
        <v/>
      </c>
      <c r="AU193" s="12" t="str">
        <f>IF(検体毎項目情報!C194="","",検体毎項目情報!C194)</f>
        <v/>
      </c>
      <c r="AV193" s="12" t="str">
        <f>IF(検体毎項目情報!D194="","",検体毎項目情報!D194)</f>
        <v/>
      </c>
      <c r="AW193" s="12" t="str">
        <f>IF(検体毎項目情報!E194="","",検体毎項目情報!E194)</f>
        <v/>
      </c>
      <c r="AX193" s="12" t="str">
        <f>IF(検体毎項目情報!F194="","",検体毎項目情報!F194)</f>
        <v/>
      </c>
      <c r="AY193" s="12" t="str">
        <f>IF(検体毎項目情報!G194="","",検体毎項目情報!G194)</f>
        <v/>
      </c>
      <c r="AZ193" s="12" t="str">
        <f>IF(検体毎項目情報!H194="","",検体毎項目情報!H194)</f>
        <v/>
      </c>
      <c r="BA193" s="12" t="str">
        <f>IF(検体毎項目情報!I194="","",検体毎項目情報!I194)</f>
        <v/>
      </c>
      <c r="BB193" s="12" t="str">
        <f>IF(検体毎項目情報!J194="","",検体毎項目情報!J194)</f>
        <v/>
      </c>
      <c r="BC193" s="12" t="str">
        <f>IF(検体毎項目情報!K194="","",検体毎項目情報!K194)</f>
        <v/>
      </c>
      <c r="BD193" s="12" t="str">
        <f>IF(検体毎項目情報!L194="","",検体毎項目情報!L194)</f>
        <v/>
      </c>
      <c r="BE193" s="12" t="str">
        <f>IF(検体毎項目情報!M194="","",検体毎項目情報!M194)</f>
        <v/>
      </c>
      <c r="BF193" s="12" t="str">
        <f>IF(検体毎項目情報!N194="","",検体毎項目情報!N194)</f>
        <v/>
      </c>
      <c r="BG193" s="12" t="str">
        <f>IF(検体毎項目情報!O194="","",検体毎項目情報!O194)</f>
        <v/>
      </c>
      <c r="BH193" s="12" t="str">
        <f>IF(検体毎項目情報!P194="","",検体毎項目情報!P194)</f>
        <v/>
      </c>
      <c r="BI193" s="12" t="str">
        <f>IF(検体毎項目情報!Q194="","",検体毎項目情報!Q194)</f>
        <v/>
      </c>
      <c r="BJ193" s="12" t="str">
        <f>IF(検体毎項目情報!R194="","",検体毎項目情報!R194)</f>
        <v/>
      </c>
      <c r="BK193" s="12" t="str">
        <f>IF(検体毎項目情報!S194="","",検体毎項目情報!S194)</f>
        <v/>
      </c>
      <c r="BL193" s="12" t="str">
        <f>IF(検体毎項目情報!T194="","",検体毎項目情報!T194)</f>
        <v/>
      </c>
      <c r="BM193" s="12" t="str">
        <f>IF(検体毎項目情報!U194="","",検体毎項目情報!U194)</f>
        <v/>
      </c>
      <c r="BN193" s="12" t="str">
        <f>IF(検体毎項目情報!V194="","",検体毎項目情報!V194)</f>
        <v/>
      </c>
      <c r="BO193" s="12" t="str">
        <f>IF(検体毎項目情報!W194="","",検体毎項目情報!W194)</f>
        <v/>
      </c>
      <c r="BP193" s="12" t="str">
        <f>IF(検体毎項目情報!X194="","",検体毎項目情報!X194)</f>
        <v/>
      </c>
    </row>
    <row r="194" spans="44:68">
      <c r="AR194" s="32" t="str">
        <f>IF(AS194="","",COUNTIF(費用項目一覧!A:A,判定詳細!AU194))</f>
        <v/>
      </c>
      <c r="AS194" s="12" t="str">
        <f>IF(検体毎項目情報!A195="","",検体毎項目情報!A195)</f>
        <v/>
      </c>
      <c r="AT194" s="12" t="str">
        <f>IF(検体毎項目情報!B195="","",検体毎項目情報!B195)</f>
        <v/>
      </c>
      <c r="AU194" s="12" t="str">
        <f>IF(検体毎項目情報!C195="","",検体毎項目情報!C195)</f>
        <v/>
      </c>
      <c r="AV194" s="12" t="str">
        <f>IF(検体毎項目情報!D195="","",検体毎項目情報!D195)</f>
        <v/>
      </c>
      <c r="AW194" s="12" t="str">
        <f>IF(検体毎項目情報!E195="","",検体毎項目情報!E195)</f>
        <v/>
      </c>
      <c r="AX194" s="12" t="str">
        <f>IF(検体毎項目情報!F195="","",検体毎項目情報!F195)</f>
        <v/>
      </c>
      <c r="AY194" s="12" t="str">
        <f>IF(検体毎項目情報!G195="","",検体毎項目情報!G195)</f>
        <v/>
      </c>
      <c r="AZ194" s="12" t="str">
        <f>IF(検体毎項目情報!H195="","",検体毎項目情報!H195)</f>
        <v/>
      </c>
      <c r="BA194" s="12" t="str">
        <f>IF(検体毎項目情報!I195="","",検体毎項目情報!I195)</f>
        <v/>
      </c>
      <c r="BB194" s="12" t="str">
        <f>IF(検体毎項目情報!J195="","",検体毎項目情報!J195)</f>
        <v/>
      </c>
      <c r="BC194" s="12" t="str">
        <f>IF(検体毎項目情報!K195="","",検体毎項目情報!K195)</f>
        <v/>
      </c>
      <c r="BD194" s="12" t="str">
        <f>IF(検体毎項目情報!L195="","",検体毎項目情報!L195)</f>
        <v/>
      </c>
      <c r="BE194" s="12" t="str">
        <f>IF(検体毎項目情報!M195="","",検体毎項目情報!M195)</f>
        <v/>
      </c>
      <c r="BF194" s="12" t="str">
        <f>IF(検体毎項目情報!N195="","",検体毎項目情報!N195)</f>
        <v/>
      </c>
      <c r="BG194" s="12" t="str">
        <f>IF(検体毎項目情報!O195="","",検体毎項目情報!O195)</f>
        <v/>
      </c>
      <c r="BH194" s="12" t="str">
        <f>IF(検体毎項目情報!P195="","",検体毎項目情報!P195)</f>
        <v/>
      </c>
      <c r="BI194" s="12" t="str">
        <f>IF(検体毎項目情報!Q195="","",検体毎項目情報!Q195)</f>
        <v/>
      </c>
      <c r="BJ194" s="12" t="str">
        <f>IF(検体毎項目情報!R195="","",検体毎項目情報!R195)</f>
        <v/>
      </c>
      <c r="BK194" s="12" t="str">
        <f>IF(検体毎項目情報!S195="","",検体毎項目情報!S195)</f>
        <v/>
      </c>
      <c r="BL194" s="12" t="str">
        <f>IF(検体毎項目情報!T195="","",検体毎項目情報!T195)</f>
        <v/>
      </c>
      <c r="BM194" s="12" t="str">
        <f>IF(検体毎項目情報!U195="","",検体毎項目情報!U195)</f>
        <v/>
      </c>
      <c r="BN194" s="12" t="str">
        <f>IF(検体毎項目情報!V195="","",検体毎項目情報!V195)</f>
        <v/>
      </c>
      <c r="BO194" s="12" t="str">
        <f>IF(検体毎項目情報!W195="","",検体毎項目情報!W195)</f>
        <v/>
      </c>
      <c r="BP194" s="12" t="str">
        <f>IF(検体毎項目情報!X195="","",検体毎項目情報!X195)</f>
        <v/>
      </c>
    </row>
    <row r="195" spans="44:68">
      <c r="AR195" s="32" t="str">
        <f>IF(AS195="","",COUNTIF(費用項目一覧!A:A,判定詳細!AU195))</f>
        <v/>
      </c>
      <c r="AS195" s="12" t="str">
        <f>IF(検体毎項目情報!A196="","",検体毎項目情報!A196)</f>
        <v/>
      </c>
      <c r="AT195" s="12" t="str">
        <f>IF(検体毎項目情報!B196="","",検体毎項目情報!B196)</f>
        <v/>
      </c>
      <c r="AU195" s="12" t="str">
        <f>IF(検体毎項目情報!C196="","",検体毎項目情報!C196)</f>
        <v/>
      </c>
      <c r="AV195" s="12" t="str">
        <f>IF(検体毎項目情報!D196="","",検体毎項目情報!D196)</f>
        <v/>
      </c>
      <c r="AW195" s="12" t="str">
        <f>IF(検体毎項目情報!E196="","",検体毎項目情報!E196)</f>
        <v/>
      </c>
      <c r="AX195" s="12" t="str">
        <f>IF(検体毎項目情報!F196="","",検体毎項目情報!F196)</f>
        <v/>
      </c>
      <c r="AY195" s="12" t="str">
        <f>IF(検体毎項目情報!G196="","",検体毎項目情報!G196)</f>
        <v/>
      </c>
      <c r="AZ195" s="12" t="str">
        <f>IF(検体毎項目情報!H196="","",検体毎項目情報!H196)</f>
        <v/>
      </c>
      <c r="BA195" s="12" t="str">
        <f>IF(検体毎項目情報!I196="","",検体毎項目情報!I196)</f>
        <v/>
      </c>
      <c r="BB195" s="12" t="str">
        <f>IF(検体毎項目情報!J196="","",検体毎項目情報!J196)</f>
        <v/>
      </c>
      <c r="BC195" s="12" t="str">
        <f>IF(検体毎項目情報!K196="","",検体毎項目情報!K196)</f>
        <v/>
      </c>
      <c r="BD195" s="12" t="str">
        <f>IF(検体毎項目情報!L196="","",検体毎項目情報!L196)</f>
        <v/>
      </c>
      <c r="BE195" s="12" t="str">
        <f>IF(検体毎項目情報!M196="","",検体毎項目情報!M196)</f>
        <v/>
      </c>
      <c r="BF195" s="12" t="str">
        <f>IF(検体毎項目情報!N196="","",検体毎項目情報!N196)</f>
        <v/>
      </c>
      <c r="BG195" s="12" t="str">
        <f>IF(検体毎項目情報!O196="","",検体毎項目情報!O196)</f>
        <v/>
      </c>
      <c r="BH195" s="12" t="str">
        <f>IF(検体毎項目情報!P196="","",検体毎項目情報!P196)</f>
        <v/>
      </c>
      <c r="BI195" s="12" t="str">
        <f>IF(検体毎項目情報!Q196="","",検体毎項目情報!Q196)</f>
        <v/>
      </c>
      <c r="BJ195" s="12" t="str">
        <f>IF(検体毎項目情報!R196="","",検体毎項目情報!R196)</f>
        <v/>
      </c>
      <c r="BK195" s="12" t="str">
        <f>IF(検体毎項目情報!S196="","",検体毎項目情報!S196)</f>
        <v/>
      </c>
      <c r="BL195" s="12" t="str">
        <f>IF(検体毎項目情報!T196="","",検体毎項目情報!T196)</f>
        <v/>
      </c>
      <c r="BM195" s="12" t="str">
        <f>IF(検体毎項目情報!U196="","",検体毎項目情報!U196)</f>
        <v/>
      </c>
      <c r="BN195" s="12" t="str">
        <f>IF(検体毎項目情報!V196="","",検体毎項目情報!V196)</f>
        <v/>
      </c>
      <c r="BO195" s="12" t="str">
        <f>IF(検体毎項目情報!W196="","",検体毎項目情報!W196)</f>
        <v/>
      </c>
      <c r="BP195" s="12" t="str">
        <f>IF(検体毎項目情報!X196="","",検体毎項目情報!X196)</f>
        <v/>
      </c>
    </row>
    <row r="196" spans="44:68">
      <c r="AR196" s="32" t="str">
        <f>IF(AS196="","",COUNTIF(費用項目一覧!A:A,判定詳細!AU196))</f>
        <v/>
      </c>
      <c r="AS196" s="12" t="str">
        <f>IF(検体毎項目情報!A197="","",検体毎項目情報!A197)</f>
        <v/>
      </c>
      <c r="AT196" s="12" t="str">
        <f>IF(検体毎項目情報!B197="","",検体毎項目情報!B197)</f>
        <v/>
      </c>
      <c r="AU196" s="12" t="str">
        <f>IF(検体毎項目情報!C197="","",検体毎項目情報!C197)</f>
        <v/>
      </c>
      <c r="AV196" s="12" t="str">
        <f>IF(検体毎項目情報!D197="","",検体毎項目情報!D197)</f>
        <v/>
      </c>
      <c r="AW196" s="12" t="str">
        <f>IF(検体毎項目情報!E197="","",検体毎項目情報!E197)</f>
        <v/>
      </c>
      <c r="AX196" s="12" t="str">
        <f>IF(検体毎項目情報!F197="","",検体毎項目情報!F197)</f>
        <v/>
      </c>
      <c r="AY196" s="12" t="str">
        <f>IF(検体毎項目情報!G197="","",検体毎項目情報!G197)</f>
        <v/>
      </c>
      <c r="AZ196" s="12" t="str">
        <f>IF(検体毎項目情報!H197="","",検体毎項目情報!H197)</f>
        <v/>
      </c>
      <c r="BA196" s="12" t="str">
        <f>IF(検体毎項目情報!I197="","",検体毎項目情報!I197)</f>
        <v/>
      </c>
      <c r="BB196" s="12" t="str">
        <f>IF(検体毎項目情報!J197="","",検体毎項目情報!J197)</f>
        <v/>
      </c>
      <c r="BC196" s="12" t="str">
        <f>IF(検体毎項目情報!K197="","",検体毎項目情報!K197)</f>
        <v/>
      </c>
      <c r="BD196" s="12" t="str">
        <f>IF(検体毎項目情報!L197="","",検体毎項目情報!L197)</f>
        <v/>
      </c>
      <c r="BE196" s="12" t="str">
        <f>IF(検体毎項目情報!M197="","",検体毎項目情報!M197)</f>
        <v/>
      </c>
      <c r="BF196" s="12" t="str">
        <f>IF(検体毎項目情報!N197="","",検体毎項目情報!N197)</f>
        <v/>
      </c>
      <c r="BG196" s="12" t="str">
        <f>IF(検体毎項目情報!O197="","",検体毎項目情報!O197)</f>
        <v/>
      </c>
      <c r="BH196" s="12" t="str">
        <f>IF(検体毎項目情報!P197="","",検体毎項目情報!P197)</f>
        <v/>
      </c>
      <c r="BI196" s="12" t="str">
        <f>IF(検体毎項目情報!Q197="","",検体毎項目情報!Q197)</f>
        <v/>
      </c>
      <c r="BJ196" s="12" t="str">
        <f>IF(検体毎項目情報!R197="","",検体毎項目情報!R197)</f>
        <v/>
      </c>
      <c r="BK196" s="12" t="str">
        <f>IF(検体毎項目情報!S197="","",検体毎項目情報!S197)</f>
        <v/>
      </c>
      <c r="BL196" s="12" t="str">
        <f>IF(検体毎項目情報!T197="","",検体毎項目情報!T197)</f>
        <v/>
      </c>
      <c r="BM196" s="12" t="str">
        <f>IF(検体毎項目情報!U197="","",検体毎項目情報!U197)</f>
        <v/>
      </c>
      <c r="BN196" s="12" t="str">
        <f>IF(検体毎項目情報!V197="","",検体毎項目情報!V197)</f>
        <v/>
      </c>
      <c r="BO196" s="12" t="str">
        <f>IF(検体毎項目情報!W197="","",検体毎項目情報!W197)</f>
        <v/>
      </c>
      <c r="BP196" s="12" t="str">
        <f>IF(検体毎項目情報!X197="","",検体毎項目情報!X197)</f>
        <v/>
      </c>
    </row>
    <row r="197" spans="44:68">
      <c r="AR197" s="32" t="str">
        <f>IF(AS197="","",COUNTIF(費用項目一覧!A:A,判定詳細!AU197))</f>
        <v/>
      </c>
      <c r="AS197" s="12" t="str">
        <f>IF(検体毎項目情報!A198="","",検体毎項目情報!A198)</f>
        <v/>
      </c>
      <c r="AT197" s="12" t="str">
        <f>IF(検体毎項目情報!B198="","",検体毎項目情報!B198)</f>
        <v/>
      </c>
      <c r="AU197" s="12" t="str">
        <f>IF(検体毎項目情報!C198="","",検体毎項目情報!C198)</f>
        <v/>
      </c>
      <c r="AV197" s="12" t="str">
        <f>IF(検体毎項目情報!D198="","",検体毎項目情報!D198)</f>
        <v/>
      </c>
      <c r="AW197" s="12" t="str">
        <f>IF(検体毎項目情報!E198="","",検体毎項目情報!E198)</f>
        <v/>
      </c>
      <c r="AX197" s="12" t="str">
        <f>IF(検体毎項目情報!F198="","",検体毎項目情報!F198)</f>
        <v/>
      </c>
      <c r="AY197" s="12" t="str">
        <f>IF(検体毎項目情報!G198="","",検体毎項目情報!G198)</f>
        <v/>
      </c>
      <c r="AZ197" s="12" t="str">
        <f>IF(検体毎項目情報!H198="","",検体毎項目情報!H198)</f>
        <v/>
      </c>
      <c r="BA197" s="12" t="str">
        <f>IF(検体毎項目情報!I198="","",検体毎項目情報!I198)</f>
        <v/>
      </c>
      <c r="BB197" s="12" t="str">
        <f>IF(検体毎項目情報!J198="","",検体毎項目情報!J198)</f>
        <v/>
      </c>
      <c r="BC197" s="12" t="str">
        <f>IF(検体毎項目情報!K198="","",検体毎項目情報!K198)</f>
        <v/>
      </c>
      <c r="BD197" s="12" t="str">
        <f>IF(検体毎項目情報!L198="","",検体毎項目情報!L198)</f>
        <v/>
      </c>
      <c r="BE197" s="12" t="str">
        <f>IF(検体毎項目情報!M198="","",検体毎項目情報!M198)</f>
        <v/>
      </c>
      <c r="BF197" s="12" t="str">
        <f>IF(検体毎項目情報!N198="","",検体毎項目情報!N198)</f>
        <v/>
      </c>
      <c r="BG197" s="12" t="str">
        <f>IF(検体毎項目情報!O198="","",検体毎項目情報!O198)</f>
        <v/>
      </c>
      <c r="BH197" s="12" t="str">
        <f>IF(検体毎項目情報!P198="","",検体毎項目情報!P198)</f>
        <v/>
      </c>
      <c r="BI197" s="12" t="str">
        <f>IF(検体毎項目情報!Q198="","",検体毎項目情報!Q198)</f>
        <v/>
      </c>
      <c r="BJ197" s="12" t="str">
        <f>IF(検体毎項目情報!R198="","",検体毎項目情報!R198)</f>
        <v/>
      </c>
      <c r="BK197" s="12" t="str">
        <f>IF(検体毎項目情報!S198="","",検体毎項目情報!S198)</f>
        <v/>
      </c>
      <c r="BL197" s="12" t="str">
        <f>IF(検体毎項目情報!T198="","",検体毎項目情報!T198)</f>
        <v/>
      </c>
      <c r="BM197" s="12" t="str">
        <f>IF(検体毎項目情報!U198="","",検体毎項目情報!U198)</f>
        <v/>
      </c>
      <c r="BN197" s="12" t="str">
        <f>IF(検体毎項目情報!V198="","",検体毎項目情報!V198)</f>
        <v/>
      </c>
      <c r="BO197" s="12" t="str">
        <f>IF(検体毎項目情報!W198="","",検体毎項目情報!W198)</f>
        <v/>
      </c>
      <c r="BP197" s="12" t="str">
        <f>IF(検体毎項目情報!X198="","",検体毎項目情報!X198)</f>
        <v/>
      </c>
    </row>
    <row r="198" spans="44:68">
      <c r="AR198" s="32" t="str">
        <f>IF(AS198="","",COUNTIF(費用項目一覧!A:A,判定詳細!AU198))</f>
        <v/>
      </c>
      <c r="AS198" s="12" t="str">
        <f>IF(検体毎項目情報!A199="","",検体毎項目情報!A199)</f>
        <v/>
      </c>
      <c r="AT198" s="12" t="str">
        <f>IF(検体毎項目情報!B199="","",検体毎項目情報!B199)</f>
        <v/>
      </c>
      <c r="AU198" s="12" t="str">
        <f>IF(検体毎項目情報!C199="","",検体毎項目情報!C199)</f>
        <v/>
      </c>
      <c r="AV198" s="12" t="str">
        <f>IF(検体毎項目情報!D199="","",検体毎項目情報!D199)</f>
        <v/>
      </c>
      <c r="AW198" s="12" t="str">
        <f>IF(検体毎項目情報!E199="","",検体毎項目情報!E199)</f>
        <v/>
      </c>
      <c r="AX198" s="12" t="str">
        <f>IF(検体毎項目情報!F199="","",検体毎項目情報!F199)</f>
        <v/>
      </c>
      <c r="AY198" s="12" t="str">
        <f>IF(検体毎項目情報!G199="","",検体毎項目情報!G199)</f>
        <v/>
      </c>
      <c r="AZ198" s="12" t="str">
        <f>IF(検体毎項目情報!H199="","",検体毎項目情報!H199)</f>
        <v/>
      </c>
      <c r="BA198" s="12" t="str">
        <f>IF(検体毎項目情報!I199="","",検体毎項目情報!I199)</f>
        <v/>
      </c>
      <c r="BB198" s="12" t="str">
        <f>IF(検体毎項目情報!J199="","",検体毎項目情報!J199)</f>
        <v/>
      </c>
      <c r="BC198" s="12" t="str">
        <f>IF(検体毎項目情報!K199="","",検体毎項目情報!K199)</f>
        <v/>
      </c>
      <c r="BD198" s="12" t="str">
        <f>IF(検体毎項目情報!L199="","",検体毎項目情報!L199)</f>
        <v/>
      </c>
      <c r="BE198" s="12" t="str">
        <f>IF(検体毎項目情報!M199="","",検体毎項目情報!M199)</f>
        <v/>
      </c>
      <c r="BF198" s="12" t="str">
        <f>IF(検体毎項目情報!N199="","",検体毎項目情報!N199)</f>
        <v/>
      </c>
      <c r="BG198" s="12" t="str">
        <f>IF(検体毎項目情報!O199="","",検体毎項目情報!O199)</f>
        <v/>
      </c>
      <c r="BH198" s="12" t="str">
        <f>IF(検体毎項目情報!P199="","",検体毎項目情報!P199)</f>
        <v/>
      </c>
      <c r="BI198" s="12" t="str">
        <f>IF(検体毎項目情報!Q199="","",検体毎項目情報!Q199)</f>
        <v/>
      </c>
      <c r="BJ198" s="12" t="str">
        <f>IF(検体毎項目情報!R199="","",検体毎項目情報!R199)</f>
        <v/>
      </c>
      <c r="BK198" s="12" t="str">
        <f>IF(検体毎項目情報!S199="","",検体毎項目情報!S199)</f>
        <v/>
      </c>
      <c r="BL198" s="12" t="str">
        <f>IF(検体毎項目情報!T199="","",検体毎項目情報!T199)</f>
        <v/>
      </c>
      <c r="BM198" s="12" t="str">
        <f>IF(検体毎項目情報!U199="","",検体毎項目情報!U199)</f>
        <v/>
      </c>
      <c r="BN198" s="12" t="str">
        <f>IF(検体毎項目情報!V199="","",検体毎項目情報!V199)</f>
        <v/>
      </c>
      <c r="BO198" s="12" t="str">
        <f>IF(検体毎項目情報!W199="","",検体毎項目情報!W199)</f>
        <v/>
      </c>
      <c r="BP198" s="12" t="str">
        <f>IF(検体毎項目情報!X199="","",検体毎項目情報!X199)</f>
        <v/>
      </c>
    </row>
    <row r="199" spans="44:68">
      <c r="AR199" s="32" t="str">
        <f>IF(AS199="","",COUNTIF(費用項目一覧!A:A,判定詳細!AU199))</f>
        <v/>
      </c>
      <c r="AS199" s="12" t="str">
        <f>IF(検体毎項目情報!A200="","",検体毎項目情報!A200)</f>
        <v/>
      </c>
      <c r="AT199" s="12" t="str">
        <f>IF(検体毎項目情報!B200="","",検体毎項目情報!B200)</f>
        <v/>
      </c>
      <c r="AU199" s="12" t="str">
        <f>IF(検体毎項目情報!C200="","",検体毎項目情報!C200)</f>
        <v/>
      </c>
      <c r="AV199" s="12" t="str">
        <f>IF(検体毎項目情報!D200="","",検体毎項目情報!D200)</f>
        <v/>
      </c>
      <c r="AW199" s="12" t="str">
        <f>IF(検体毎項目情報!E200="","",検体毎項目情報!E200)</f>
        <v/>
      </c>
      <c r="AX199" s="12" t="str">
        <f>IF(検体毎項目情報!F200="","",検体毎項目情報!F200)</f>
        <v/>
      </c>
      <c r="AY199" s="12" t="str">
        <f>IF(検体毎項目情報!G200="","",検体毎項目情報!G200)</f>
        <v/>
      </c>
      <c r="AZ199" s="12" t="str">
        <f>IF(検体毎項目情報!H200="","",検体毎項目情報!H200)</f>
        <v/>
      </c>
      <c r="BA199" s="12" t="str">
        <f>IF(検体毎項目情報!I200="","",検体毎項目情報!I200)</f>
        <v/>
      </c>
      <c r="BB199" s="12" t="str">
        <f>IF(検体毎項目情報!J200="","",検体毎項目情報!J200)</f>
        <v/>
      </c>
      <c r="BC199" s="12" t="str">
        <f>IF(検体毎項目情報!K200="","",検体毎項目情報!K200)</f>
        <v/>
      </c>
      <c r="BD199" s="12" t="str">
        <f>IF(検体毎項目情報!L200="","",検体毎項目情報!L200)</f>
        <v/>
      </c>
      <c r="BE199" s="12" t="str">
        <f>IF(検体毎項目情報!M200="","",検体毎項目情報!M200)</f>
        <v/>
      </c>
      <c r="BF199" s="12" t="str">
        <f>IF(検体毎項目情報!N200="","",検体毎項目情報!N200)</f>
        <v/>
      </c>
      <c r="BG199" s="12" t="str">
        <f>IF(検体毎項目情報!O200="","",検体毎項目情報!O200)</f>
        <v/>
      </c>
      <c r="BH199" s="12" t="str">
        <f>IF(検体毎項目情報!P200="","",検体毎項目情報!P200)</f>
        <v/>
      </c>
      <c r="BI199" s="12" t="str">
        <f>IF(検体毎項目情報!Q200="","",検体毎項目情報!Q200)</f>
        <v/>
      </c>
      <c r="BJ199" s="12" t="str">
        <f>IF(検体毎項目情報!R200="","",検体毎項目情報!R200)</f>
        <v/>
      </c>
      <c r="BK199" s="12" t="str">
        <f>IF(検体毎項目情報!S200="","",検体毎項目情報!S200)</f>
        <v/>
      </c>
      <c r="BL199" s="12" t="str">
        <f>IF(検体毎項目情報!T200="","",検体毎項目情報!T200)</f>
        <v/>
      </c>
      <c r="BM199" s="12" t="str">
        <f>IF(検体毎項目情報!U200="","",検体毎項目情報!U200)</f>
        <v/>
      </c>
      <c r="BN199" s="12" t="str">
        <f>IF(検体毎項目情報!V200="","",検体毎項目情報!V200)</f>
        <v/>
      </c>
      <c r="BO199" s="12" t="str">
        <f>IF(検体毎項目情報!W200="","",検体毎項目情報!W200)</f>
        <v/>
      </c>
      <c r="BP199" s="12" t="str">
        <f>IF(検体毎項目情報!X200="","",検体毎項目情報!X200)</f>
        <v/>
      </c>
    </row>
    <row r="200" spans="44:68">
      <c r="AR200" s="32" t="str">
        <f>IF(AS200="","",COUNTIF(費用項目一覧!A:A,判定詳細!AU200))</f>
        <v/>
      </c>
      <c r="AS200" s="12" t="str">
        <f>IF(検体毎項目情報!A201="","",検体毎項目情報!A201)</f>
        <v/>
      </c>
      <c r="AT200" s="12" t="str">
        <f>IF(検体毎項目情報!B201="","",検体毎項目情報!B201)</f>
        <v/>
      </c>
      <c r="AU200" s="12" t="str">
        <f>IF(検体毎項目情報!C201="","",検体毎項目情報!C201)</f>
        <v/>
      </c>
      <c r="AV200" s="12" t="str">
        <f>IF(検体毎項目情報!D201="","",検体毎項目情報!D201)</f>
        <v/>
      </c>
      <c r="AW200" s="12" t="str">
        <f>IF(検体毎項目情報!E201="","",検体毎項目情報!E201)</f>
        <v/>
      </c>
      <c r="AX200" s="12" t="str">
        <f>IF(検体毎項目情報!F201="","",検体毎項目情報!F201)</f>
        <v/>
      </c>
      <c r="AY200" s="12" t="str">
        <f>IF(検体毎項目情報!G201="","",検体毎項目情報!G201)</f>
        <v/>
      </c>
      <c r="AZ200" s="12" t="str">
        <f>IF(検体毎項目情報!H201="","",検体毎項目情報!H201)</f>
        <v/>
      </c>
      <c r="BA200" s="12" t="str">
        <f>IF(検体毎項目情報!I201="","",検体毎項目情報!I201)</f>
        <v/>
      </c>
      <c r="BB200" s="12" t="str">
        <f>IF(検体毎項目情報!J201="","",検体毎項目情報!J201)</f>
        <v/>
      </c>
      <c r="BC200" s="12" t="str">
        <f>IF(検体毎項目情報!K201="","",検体毎項目情報!K201)</f>
        <v/>
      </c>
      <c r="BD200" s="12" t="str">
        <f>IF(検体毎項目情報!L201="","",検体毎項目情報!L201)</f>
        <v/>
      </c>
      <c r="BE200" s="12" t="str">
        <f>IF(検体毎項目情報!M201="","",検体毎項目情報!M201)</f>
        <v/>
      </c>
      <c r="BF200" s="12" t="str">
        <f>IF(検体毎項目情報!N201="","",検体毎項目情報!N201)</f>
        <v/>
      </c>
      <c r="BG200" s="12" t="str">
        <f>IF(検体毎項目情報!O201="","",検体毎項目情報!O201)</f>
        <v/>
      </c>
      <c r="BH200" s="12" t="str">
        <f>IF(検体毎項目情報!P201="","",検体毎項目情報!P201)</f>
        <v/>
      </c>
      <c r="BI200" s="12" t="str">
        <f>IF(検体毎項目情報!Q201="","",検体毎項目情報!Q201)</f>
        <v/>
      </c>
      <c r="BJ200" s="12" t="str">
        <f>IF(検体毎項目情報!R201="","",検体毎項目情報!R201)</f>
        <v/>
      </c>
      <c r="BK200" s="12" t="str">
        <f>IF(検体毎項目情報!S201="","",検体毎項目情報!S201)</f>
        <v/>
      </c>
      <c r="BL200" s="12" t="str">
        <f>IF(検体毎項目情報!T201="","",検体毎項目情報!T201)</f>
        <v/>
      </c>
      <c r="BM200" s="12" t="str">
        <f>IF(検体毎項目情報!U201="","",検体毎項目情報!U201)</f>
        <v/>
      </c>
      <c r="BN200" s="12" t="str">
        <f>IF(検体毎項目情報!V201="","",検体毎項目情報!V201)</f>
        <v/>
      </c>
      <c r="BO200" s="12" t="str">
        <f>IF(検体毎項目情報!W201="","",検体毎項目情報!W201)</f>
        <v/>
      </c>
      <c r="BP200" s="12" t="str">
        <f>IF(検体毎項目情報!X201="","",検体毎項目情報!X201)</f>
        <v/>
      </c>
    </row>
    <row r="201" spans="44:68">
      <c r="AR201" s="32" t="str">
        <f>IF(AS201="","",COUNTIF(費用項目一覧!A:A,判定詳細!AU201))</f>
        <v/>
      </c>
      <c r="AS201" s="12" t="str">
        <f>IF(検体毎項目情報!A202="","",検体毎項目情報!A202)</f>
        <v/>
      </c>
      <c r="AT201" s="12" t="str">
        <f>IF(検体毎項目情報!B202="","",検体毎項目情報!B202)</f>
        <v/>
      </c>
      <c r="AU201" s="12" t="str">
        <f>IF(検体毎項目情報!C202="","",検体毎項目情報!C202)</f>
        <v/>
      </c>
      <c r="AV201" s="12" t="str">
        <f>IF(検体毎項目情報!D202="","",検体毎項目情報!D202)</f>
        <v/>
      </c>
      <c r="AW201" s="12" t="str">
        <f>IF(検体毎項目情報!E202="","",検体毎項目情報!E202)</f>
        <v/>
      </c>
      <c r="AX201" s="12" t="str">
        <f>IF(検体毎項目情報!F202="","",検体毎項目情報!F202)</f>
        <v/>
      </c>
      <c r="AY201" s="12" t="str">
        <f>IF(検体毎項目情報!G202="","",検体毎項目情報!G202)</f>
        <v/>
      </c>
      <c r="AZ201" s="12" t="str">
        <f>IF(検体毎項目情報!H202="","",検体毎項目情報!H202)</f>
        <v/>
      </c>
      <c r="BA201" s="12" t="str">
        <f>IF(検体毎項目情報!I202="","",検体毎項目情報!I202)</f>
        <v/>
      </c>
      <c r="BB201" s="12" t="str">
        <f>IF(検体毎項目情報!J202="","",検体毎項目情報!J202)</f>
        <v/>
      </c>
      <c r="BC201" s="12" t="str">
        <f>IF(検体毎項目情報!K202="","",検体毎項目情報!K202)</f>
        <v/>
      </c>
      <c r="BD201" s="12" t="str">
        <f>IF(検体毎項目情報!L202="","",検体毎項目情報!L202)</f>
        <v/>
      </c>
      <c r="BE201" s="12" t="str">
        <f>IF(検体毎項目情報!M202="","",検体毎項目情報!M202)</f>
        <v/>
      </c>
      <c r="BF201" s="12" t="str">
        <f>IF(検体毎項目情報!N202="","",検体毎項目情報!N202)</f>
        <v/>
      </c>
      <c r="BG201" s="12" t="str">
        <f>IF(検体毎項目情報!O202="","",検体毎項目情報!O202)</f>
        <v/>
      </c>
      <c r="BH201" s="12" t="str">
        <f>IF(検体毎項目情報!P202="","",検体毎項目情報!P202)</f>
        <v/>
      </c>
      <c r="BI201" s="12" t="str">
        <f>IF(検体毎項目情報!Q202="","",検体毎項目情報!Q202)</f>
        <v/>
      </c>
      <c r="BJ201" s="12" t="str">
        <f>IF(検体毎項目情報!R202="","",検体毎項目情報!R202)</f>
        <v/>
      </c>
      <c r="BK201" s="12" t="str">
        <f>IF(検体毎項目情報!S202="","",検体毎項目情報!S202)</f>
        <v/>
      </c>
      <c r="BL201" s="12" t="str">
        <f>IF(検体毎項目情報!T202="","",検体毎項目情報!T202)</f>
        <v/>
      </c>
      <c r="BM201" s="12" t="str">
        <f>IF(検体毎項目情報!U202="","",検体毎項目情報!U202)</f>
        <v/>
      </c>
      <c r="BN201" s="12" t="str">
        <f>IF(検体毎項目情報!V202="","",検体毎項目情報!V202)</f>
        <v/>
      </c>
      <c r="BO201" s="12" t="str">
        <f>IF(検体毎項目情報!W202="","",検体毎項目情報!W202)</f>
        <v/>
      </c>
      <c r="BP201" s="12" t="str">
        <f>IF(検体毎項目情報!X202="","",検体毎項目情報!X202)</f>
        <v/>
      </c>
    </row>
    <row r="202" spans="44:68">
      <c r="AR202" s="32" t="str">
        <f>IF(AS202="","",COUNTIF(費用項目一覧!A:A,判定詳細!AU202))</f>
        <v/>
      </c>
      <c r="AS202" s="12" t="str">
        <f>IF(検体毎項目情報!A203="","",検体毎項目情報!A203)</f>
        <v/>
      </c>
      <c r="AT202" s="12" t="str">
        <f>IF(検体毎項目情報!B203="","",検体毎項目情報!B203)</f>
        <v/>
      </c>
      <c r="AU202" s="12" t="str">
        <f>IF(検体毎項目情報!C203="","",検体毎項目情報!C203)</f>
        <v/>
      </c>
      <c r="AV202" s="12" t="str">
        <f>IF(検体毎項目情報!D203="","",検体毎項目情報!D203)</f>
        <v/>
      </c>
      <c r="AW202" s="12" t="str">
        <f>IF(検体毎項目情報!E203="","",検体毎項目情報!E203)</f>
        <v/>
      </c>
      <c r="AX202" s="12" t="str">
        <f>IF(検体毎項目情報!F203="","",検体毎項目情報!F203)</f>
        <v/>
      </c>
      <c r="AY202" s="12" t="str">
        <f>IF(検体毎項目情報!G203="","",検体毎項目情報!G203)</f>
        <v/>
      </c>
      <c r="AZ202" s="12" t="str">
        <f>IF(検体毎項目情報!H203="","",検体毎項目情報!H203)</f>
        <v/>
      </c>
      <c r="BA202" s="12" t="str">
        <f>IF(検体毎項目情報!I203="","",検体毎項目情報!I203)</f>
        <v/>
      </c>
      <c r="BB202" s="12" t="str">
        <f>IF(検体毎項目情報!J203="","",検体毎項目情報!J203)</f>
        <v/>
      </c>
      <c r="BC202" s="12" t="str">
        <f>IF(検体毎項目情報!K203="","",検体毎項目情報!K203)</f>
        <v/>
      </c>
      <c r="BD202" s="12" t="str">
        <f>IF(検体毎項目情報!L203="","",検体毎項目情報!L203)</f>
        <v/>
      </c>
      <c r="BE202" s="12" t="str">
        <f>IF(検体毎項目情報!M203="","",検体毎項目情報!M203)</f>
        <v/>
      </c>
      <c r="BF202" s="12" t="str">
        <f>IF(検体毎項目情報!N203="","",検体毎項目情報!N203)</f>
        <v/>
      </c>
      <c r="BG202" s="12" t="str">
        <f>IF(検体毎項目情報!O203="","",検体毎項目情報!O203)</f>
        <v/>
      </c>
      <c r="BH202" s="12" t="str">
        <f>IF(検体毎項目情報!P203="","",検体毎項目情報!P203)</f>
        <v/>
      </c>
      <c r="BI202" s="12" t="str">
        <f>IF(検体毎項目情報!Q203="","",検体毎項目情報!Q203)</f>
        <v/>
      </c>
      <c r="BJ202" s="12" t="str">
        <f>IF(検体毎項目情報!R203="","",検体毎項目情報!R203)</f>
        <v/>
      </c>
      <c r="BK202" s="12" t="str">
        <f>IF(検体毎項目情報!S203="","",検体毎項目情報!S203)</f>
        <v/>
      </c>
      <c r="BL202" s="12" t="str">
        <f>IF(検体毎項目情報!T203="","",検体毎項目情報!T203)</f>
        <v/>
      </c>
      <c r="BM202" s="12" t="str">
        <f>IF(検体毎項目情報!U203="","",検体毎項目情報!U203)</f>
        <v/>
      </c>
      <c r="BN202" s="12" t="str">
        <f>IF(検体毎項目情報!V203="","",検体毎項目情報!V203)</f>
        <v/>
      </c>
      <c r="BO202" s="12" t="str">
        <f>IF(検体毎項目情報!W203="","",検体毎項目情報!W203)</f>
        <v/>
      </c>
      <c r="BP202" s="12" t="str">
        <f>IF(検体毎項目情報!X203="","",検体毎項目情報!X203)</f>
        <v/>
      </c>
    </row>
    <row r="203" spans="44:68">
      <c r="AR203" s="32" t="str">
        <f>IF(AS203="","",COUNTIF(費用項目一覧!A:A,判定詳細!AU203))</f>
        <v/>
      </c>
      <c r="AS203" s="12" t="str">
        <f>IF(検体毎項目情報!A204="","",検体毎項目情報!A204)</f>
        <v/>
      </c>
      <c r="AT203" s="12" t="str">
        <f>IF(検体毎項目情報!B204="","",検体毎項目情報!B204)</f>
        <v/>
      </c>
      <c r="AU203" s="12" t="str">
        <f>IF(検体毎項目情報!C204="","",検体毎項目情報!C204)</f>
        <v/>
      </c>
      <c r="AV203" s="12" t="str">
        <f>IF(検体毎項目情報!D204="","",検体毎項目情報!D204)</f>
        <v/>
      </c>
      <c r="AW203" s="12" t="str">
        <f>IF(検体毎項目情報!E204="","",検体毎項目情報!E204)</f>
        <v/>
      </c>
      <c r="AX203" s="12" t="str">
        <f>IF(検体毎項目情報!F204="","",検体毎項目情報!F204)</f>
        <v/>
      </c>
      <c r="AY203" s="12" t="str">
        <f>IF(検体毎項目情報!G204="","",検体毎項目情報!G204)</f>
        <v/>
      </c>
      <c r="AZ203" s="12" t="str">
        <f>IF(検体毎項目情報!H204="","",検体毎項目情報!H204)</f>
        <v/>
      </c>
      <c r="BA203" s="12" t="str">
        <f>IF(検体毎項目情報!I204="","",検体毎項目情報!I204)</f>
        <v/>
      </c>
      <c r="BB203" s="12" t="str">
        <f>IF(検体毎項目情報!J204="","",検体毎項目情報!J204)</f>
        <v/>
      </c>
      <c r="BC203" s="12" t="str">
        <f>IF(検体毎項目情報!K204="","",検体毎項目情報!K204)</f>
        <v/>
      </c>
      <c r="BD203" s="12" t="str">
        <f>IF(検体毎項目情報!L204="","",検体毎項目情報!L204)</f>
        <v/>
      </c>
      <c r="BE203" s="12" t="str">
        <f>IF(検体毎項目情報!M204="","",検体毎項目情報!M204)</f>
        <v/>
      </c>
      <c r="BF203" s="12" t="str">
        <f>IF(検体毎項目情報!N204="","",検体毎項目情報!N204)</f>
        <v/>
      </c>
      <c r="BG203" s="12" t="str">
        <f>IF(検体毎項目情報!O204="","",検体毎項目情報!O204)</f>
        <v/>
      </c>
      <c r="BH203" s="12" t="str">
        <f>IF(検体毎項目情報!P204="","",検体毎項目情報!P204)</f>
        <v/>
      </c>
      <c r="BI203" s="12" t="str">
        <f>IF(検体毎項目情報!Q204="","",検体毎項目情報!Q204)</f>
        <v/>
      </c>
      <c r="BJ203" s="12" t="str">
        <f>IF(検体毎項目情報!R204="","",検体毎項目情報!R204)</f>
        <v/>
      </c>
      <c r="BK203" s="12" t="str">
        <f>IF(検体毎項目情報!S204="","",検体毎項目情報!S204)</f>
        <v/>
      </c>
      <c r="BL203" s="12" t="str">
        <f>IF(検体毎項目情報!T204="","",検体毎項目情報!T204)</f>
        <v/>
      </c>
      <c r="BM203" s="12" t="str">
        <f>IF(検体毎項目情報!U204="","",検体毎項目情報!U204)</f>
        <v/>
      </c>
      <c r="BN203" s="12" t="str">
        <f>IF(検体毎項目情報!V204="","",検体毎項目情報!V204)</f>
        <v/>
      </c>
      <c r="BO203" s="12" t="str">
        <f>IF(検体毎項目情報!W204="","",検体毎項目情報!W204)</f>
        <v/>
      </c>
      <c r="BP203" s="12" t="str">
        <f>IF(検体毎項目情報!X204="","",検体毎項目情報!X204)</f>
        <v/>
      </c>
    </row>
    <row r="204" spans="44:68">
      <c r="AR204" s="32" t="str">
        <f>IF(AS204="","",COUNTIF(費用項目一覧!A:A,判定詳細!AU204))</f>
        <v/>
      </c>
      <c r="AS204" s="12" t="str">
        <f>IF(検体毎項目情報!A205="","",検体毎項目情報!A205)</f>
        <v/>
      </c>
      <c r="AT204" s="12" t="str">
        <f>IF(検体毎項目情報!B205="","",検体毎項目情報!B205)</f>
        <v/>
      </c>
      <c r="AU204" s="12" t="str">
        <f>IF(検体毎項目情報!C205="","",検体毎項目情報!C205)</f>
        <v/>
      </c>
      <c r="AV204" s="12" t="str">
        <f>IF(検体毎項目情報!D205="","",検体毎項目情報!D205)</f>
        <v/>
      </c>
      <c r="AW204" s="12" t="str">
        <f>IF(検体毎項目情報!E205="","",検体毎項目情報!E205)</f>
        <v/>
      </c>
      <c r="AX204" s="12" t="str">
        <f>IF(検体毎項目情報!F205="","",検体毎項目情報!F205)</f>
        <v/>
      </c>
      <c r="AY204" s="12" t="str">
        <f>IF(検体毎項目情報!G205="","",検体毎項目情報!G205)</f>
        <v/>
      </c>
      <c r="AZ204" s="12" t="str">
        <f>IF(検体毎項目情報!H205="","",検体毎項目情報!H205)</f>
        <v/>
      </c>
      <c r="BA204" s="12" t="str">
        <f>IF(検体毎項目情報!I205="","",検体毎項目情報!I205)</f>
        <v/>
      </c>
      <c r="BB204" s="12" t="str">
        <f>IF(検体毎項目情報!J205="","",検体毎項目情報!J205)</f>
        <v/>
      </c>
      <c r="BC204" s="12" t="str">
        <f>IF(検体毎項目情報!K205="","",検体毎項目情報!K205)</f>
        <v/>
      </c>
      <c r="BD204" s="12" t="str">
        <f>IF(検体毎項目情報!L205="","",検体毎項目情報!L205)</f>
        <v/>
      </c>
      <c r="BE204" s="12" t="str">
        <f>IF(検体毎項目情報!M205="","",検体毎項目情報!M205)</f>
        <v/>
      </c>
      <c r="BF204" s="12" t="str">
        <f>IF(検体毎項目情報!N205="","",検体毎項目情報!N205)</f>
        <v/>
      </c>
      <c r="BG204" s="12" t="str">
        <f>IF(検体毎項目情報!O205="","",検体毎項目情報!O205)</f>
        <v/>
      </c>
      <c r="BH204" s="12" t="str">
        <f>IF(検体毎項目情報!P205="","",検体毎項目情報!P205)</f>
        <v/>
      </c>
      <c r="BI204" s="12" t="str">
        <f>IF(検体毎項目情報!Q205="","",検体毎項目情報!Q205)</f>
        <v/>
      </c>
      <c r="BJ204" s="12" t="str">
        <f>IF(検体毎項目情報!R205="","",検体毎項目情報!R205)</f>
        <v/>
      </c>
      <c r="BK204" s="12" t="str">
        <f>IF(検体毎項目情報!S205="","",検体毎項目情報!S205)</f>
        <v/>
      </c>
      <c r="BL204" s="12" t="str">
        <f>IF(検体毎項目情報!T205="","",検体毎項目情報!T205)</f>
        <v/>
      </c>
      <c r="BM204" s="12" t="str">
        <f>IF(検体毎項目情報!U205="","",検体毎項目情報!U205)</f>
        <v/>
      </c>
      <c r="BN204" s="12" t="str">
        <f>IF(検体毎項目情報!V205="","",検体毎項目情報!V205)</f>
        <v/>
      </c>
      <c r="BO204" s="12" t="str">
        <f>IF(検体毎項目情報!W205="","",検体毎項目情報!W205)</f>
        <v/>
      </c>
      <c r="BP204" s="12" t="str">
        <f>IF(検体毎項目情報!X205="","",検体毎項目情報!X205)</f>
        <v/>
      </c>
    </row>
    <row r="205" spans="44:68">
      <c r="AR205" s="32" t="str">
        <f>IF(AS205="","",COUNTIF(費用項目一覧!A:A,判定詳細!AU205))</f>
        <v/>
      </c>
      <c r="AS205" s="12" t="str">
        <f>IF(検体毎項目情報!A206="","",検体毎項目情報!A206)</f>
        <v/>
      </c>
      <c r="AT205" s="12" t="str">
        <f>IF(検体毎項目情報!B206="","",検体毎項目情報!B206)</f>
        <v/>
      </c>
      <c r="AU205" s="12" t="str">
        <f>IF(検体毎項目情報!C206="","",検体毎項目情報!C206)</f>
        <v/>
      </c>
      <c r="AV205" s="12" t="str">
        <f>IF(検体毎項目情報!D206="","",検体毎項目情報!D206)</f>
        <v/>
      </c>
      <c r="AW205" s="12" t="str">
        <f>IF(検体毎項目情報!E206="","",検体毎項目情報!E206)</f>
        <v/>
      </c>
      <c r="AX205" s="12" t="str">
        <f>IF(検体毎項目情報!F206="","",検体毎項目情報!F206)</f>
        <v/>
      </c>
      <c r="AY205" s="12" t="str">
        <f>IF(検体毎項目情報!G206="","",検体毎項目情報!G206)</f>
        <v/>
      </c>
      <c r="AZ205" s="12" t="str">
        <f>IF(検体毎項目情報!H206="","",検体毎項目情報!H206)</f>
        <v/>
      </c>
      <c r="BA205" s="12" t="str">
        <f>IF(検体毎項目情報!I206="","",検体毎項目情報!I206)</f>
        <v/>
      </c>
      <c r="BB205" s="12" t="str">
        <f>IF(検体毎項目情報!J206="","",検体毎項目情報!J206)</f>
        <v/>
      </c>
      <c r="BC205" s="12" t="str">
        <f>IF(検体毎項目情報!K206="","",検体毎項目情報!K206)</f>
        <v/>
      </c>
      <c r="BD205" s="12" t="str">
        <f>IF(検体毎項目情報!L206="","",検体毎項目情報!L206)</f>
        <v/>
      </c>
      <c r="BE205" s="12" t="str">
        <f>IF(検体毎項目情報!M206="","",検体毎項目情報!M206)</f>
        <v/>
      </c>
      <c r="BF205" s="12" t="str">
        <f>IF(検体毎項目情報!N206="","",検体毎項目情報!N206)</f>
        <v/>
      </c>
      <c r="BG205" s="12" t="str">
        <f>IF(検体毎項目情報!O206="","",検体毎項目情報!O206)</f>
        <v/>
      </c>
      <c r="BH205" s="12" t="str">
        <f>IF(検体毎項目情報!P206="","",検体毎項目情報!P206)</f>
        <v/>
      </c>
      <c r="BI205" s="12" t="str">
        <f>IF(検体毎項目情報!Q206="","",検体毎項目情報!Q206)</f>
        <v/>
      </c>
      <c r="BJ205" s="12" t="str">
        <f>IF(検体毎項目情報!R206="","",検体毎項目情報!R206)</f>
        <v/>
      </c>
      <c r="BK205" s="12" t="str">
        <f>IF(検体毎項目情報!S206="","",検体毎項目情報!S206)</f>
        <v/>
      </c>
      <c r="BL205" s="12" t="str">
        <f>IF(検体毎項目情報!T206="","",検体毎項目情報!T206)</f>
        <v/>
      </c>
      <c r="BM205" s="12" t="str">
        <f>IF(検体毎項目情報!U206="","",検体毎項目情報!U206)</f>
        <v/>
      </c>
      <c r="BN205" s="12" t="str">
        <f>IF(検体毎項目情報!V206="","",検体毎項目情報!V206)</f>
        <v/>
      </c>
      <c r="BO205" s="12" t="str">
        <f>IF(検体毎項目情報!W206="","",検体毎項目情報!W206)</f>
        <v/>
      </c>
      <c r="BP205" s="12" t="str">
        <f>IF(検体毎項目情報!X206="","",検体毎項目情報!X206)</f>
        <v/>
      </c>
    </row>
    <row r="206" spans="44:68">
      <c r="AR206" s="32" t="str">
        <f>IF(AS206="","",COUNTIF(費用項目一覧!A:A,判定詳細!AU206))</f>
        <v/>
      </c>
      <c r="AS206" s="12" t="str">
        <f>IF(検体毎項目情報!A207="","",検体毎項目情報!A207)</f>
        <v/>
      </c>
      <c r="AT206" s="12" t="str">
        <f>IF(検体毎項目情報!B207="","",検体毎項目情報!B207)</f>
        <v/>
      </c>
      <c r="AU206" s="12" t="str">
        <f>IF(検体毎項目情報!C207="","",検体毎項目情報!C207)</f>
        <v/>
      </c>
      <c r="AV206" s="12" t="str">
        <f>IF(検体毎項目情報!D207="","",検体毎項目情報!D207)</f>
        <v/>
      </c>
      <c r="AW206" s="12" t="str">
        <f>IF(検体毎項目情報!E207="","",検体毎項目情報!E207)</f>
        <v/>
      </c>
      <c r="AX206" s="12" t="str">
        <f>IF(検体毎項目情報!F207="","",検体毎項目情報!F207)</f>
        <v/>
      </c>
      <c r="AY206" s="12" t="str">
        <f>IF(検体毎項目情報!G207="","",検体毎項目情報!G207)</f>
        <v/>
      </c>
      <c r="AZ206" s="12" t="str">
        <f>IF(検体毎項目情報!H207="","",検体毎項目情報!H207)</f>
        <v/>
      </c>
      <c r="BA206" s="12" t="str">
        <f>IF(検体毎項目情報!I207="","",検体毎項目情報!I207)</f>
        <v/>
      </c>
      <c r="BB206" s="12" t="str">
        <f>IF(検体毎項目情報!J207="","",検体毎項目情報!J207)</f>
        <v/>
      </c>
      <c r="BC206" s="12" t="str">
        <f>IF(検体毎項目情報!K207="","",検体毎項目情報!K207)</f>
        <v/>
      </c>
      <c r="BD206" s="12" t="str">
        <f>IF(検体毎項目情報!L207="","",検体毎項目情報!L207)</f>
        <v/>
      </c>
      <c r="BE206" s="12" t="str">
        <f>IF(検体毎項目情報!M207="","",検体毎項目情報!M207)</f>
        <v/>
      </c>
      <c r="BF206" s="12" t="str">
        <f>IF(検体毎項目情報!N207="","",検体毎項目情報!N207)</f>
        <v/>
      </c>
      <c r="BG206" s="12" t="str">
        <f>IF(検体毎項目情報!O207="","",検体毎項目情報!O207)</f>
        <v/>
      </c>
      <c r="BH206" s="12" t="str">
        <f>IF(検体毎項目情報!P207="","",検体毎項目情報!P207)</f>
        <v/>
      </c>
      <c r="BI206" s="12" t="str">
        <f>IF(検体毎項目情報!Q207="","",検体毎項目情報!Q207)</f>
        <v/>
      </c>
      <c r="BJ206" s="12" t="str">
        <f>IF(検体毎項目情報!R207="","",検体毎項目情報!R207)</f>
        <v/>
      </c>
      <c r="BK206" s="12" t="str">
        <f>IF(検体毎項目情報!S207="","",検体毎項目情報!S207)</f>
        <v/>
      </c>
      <c r="BL206" s="12" t="str">
        <f>IF(検体毎項目情報!T207="","",検体毎項目情報!T207)</f>
        <v/>
      </c>
      <c r="BM206" s="12" t="str">
        <f>IF(検体毎項目情報!U207="","",検体毎項目情報!U207)</f>
        <v/>
      </c>
      <c r="BN206" s="12" t="str">
        <f>IF(検体毎項目情報!V207="","",検体毎項目情報!V207)</f>
        <v/>
      </c>
      <c r="BO206" s="12" t="str">
        <f>IF(検体毎項目情報!W207="","",検体毎項目情報!W207)</f>
        <v/>
      </c>
      <c r="BP206" s="12" t="str">
        <f>IF(検体毎項目情報!X207="","",検体毎項目情報!X207)</f>
        <v/>
      </c>
    </row>
    <row r="207" spans="44:68">
      <c r="AR207" s="32" t="str">
        <f>IF(AS207="","",COUNTIF(費用項目一覧!A:A,判定詳細!AU207))</f>
        <v/>
      </c>
      <c r="AS207" s="12" t="str">
        <f>IF(検体毎項目情報!A208="","",検体毎項目情報!A208)</f>
        <v/>
      </c>
      <c r="AT207" s="12" t="str">
        <f>IF(検体毎項目情報!B208="","",検体毎項目情報!B208)</f>
        <v/>
      </c>
      <c r="AU207" s="12" t="str">
        <f>IF(検体毎項目情報!C208="","",検体毎項目情報!C208)</f>
        <v/>
      </c>
      <c r="AV207" s="12" t="str">
        <f>IF(検体毎項目情報!D208="","",検体毎項目情報!D208)</f>
        <v/>
      </c>
      <c r="AW207" s="12" t="str">
        <f>IF(検体毎項目情報!E208="","",検体毎項目情報!E208)</f>
        <v/>
      </c>
      <c r="AX207" s="12" t="str">
        <f>IF(検体毎項目情報!F208="","",検体毎項目情報!F208)</f>
        <v/>
      </c>
      <c r="AY207" s="12" t="str">
        <f>IF(検体毎項目情報!G208="","",検体毎項目情報!G208)</f>
        <v/>
      </c>
      <c r="AZ207" s="12" t="str">
        <f>IF(検体毎項目情報!H208="","",検体毎項目情報!H208)</f>
        <v/>
      </c>
      <c r="BA207" s="12" t="str">
        <f>IF(検体毎項目情報!I208="","",検体毎項目情報!I208)</f>
        <v/>
      </c>
      <c r="BB207" s="12" t="str">
        <f>IF(検体毎項目情報!J208="","",検体毎項目情報!J208)</f>
        <v/>
      </c>
      <c r="BC207" s="12" t="str">
        <f>IF(検体毎項目情報!K208="","",検体毎項目情報!K208)</f>
        <v/>
      </c>
      <c r="BD207" s="12" t="str">
        <f>IF(検体毎項目情報!L208="","",検体毎項目情報!L208)</f>
        <v/>
      </c>
      <c r="BE207" s="12" t="str">
        <f>IF(検体毎項目情報!M208="","",検体毎項目情報!M208)</f>
        <v/>
      </c>
      <c r="BF207" s="12" t="str">
        <f>IF(検体毎項目情報!N208="","",検体毎項目情報!N208)</f>
        <v/>
      </c>
      <c r="BG207" s="12" t="str">
        <f>IF(検体毎項目情報!O208="","",検体毎項目情報!O208)</f>
        <v/>
      </c>
      <c r="BH207" s="12" t="str">
        <f>IF(検体毎項目情報!P208="","",検体毎項目情報!P208)</f>
        <v/>
      </c>
      <c r="BI207" s="12" t="str">
        <f>IF(検体毎項目情報!Q208="","",検体毎項目情報!Q208)</f>
        <v/>
      </c>
      <c r="BJ207" s="12" t="str">
        <f>IF(検体毎項目情報!R208="","",検体毎項目情報!R208)</f>
        <v/>
      </c>
      <c r="BK207" s="12" t="str">
        <f>IF(検体毎項目情報!S208="","",検体毎項目情報!S208)</f>
        <v/>
      </c>
      <c r="BL207" s="12" t="str">
        <f>IF(検体毎項目情報!T208="","",検体毎項目情報!T208)</f>
        <v/>
      </c>
      <c r="BM207" s="12" t="str">
        <f>IF(検体毎項目情報!U208="","",検体毎項目情報!U208)</f>
        <v/>
      </c>
      <c r="BN207" s="12" t="str">
        <f>IF(検体毎項目情報!V208="","",検体毎項目情報!V208)</f>
        <v/>
      </c>
      <c r="BO207" s="12" t="str">
        <f>IF(検体毎項目情報!W208="","",検体毎項目情報!W208)</f>
        <v/>
      </c>
      <c r="BP207" s="12" t="str">
        <f>IF(検体毎項目情報!X208="","",検体毎項目情報!X208)</f>
        <v/>
      </c>
    </row>
    <row r="208" spans="44:68">
      <c r="AR208" s="32" t="str">
        <f>IF(AS208="","",COUNTIF(費用項目一覧!A:A,判定詳細!AU208))</f>
        <v/>
      </c>
      <c r="AS208" s="12" t="str">
        <f>IF(検体毎項目情報!A209="","",検体毎項目情報!A209)</f>
        <v/>
      </c>
      <c r="AT208" s="12" t="str">
        <f>IF(検体毎項目情報!B209="","",検体毎項目情報!B209)</f>
        <v/>
      </c>
      <c r="AU208" s="12" t="str">
        <f>IF(検体毎項目情報!C209="","",検体毎項目情報!C209)</f>
        <v/>
      </c>
      <c r="AV208" s="12" t="str">
        <f>IF(検体毎項目情報!D209="","",検体毎項目情報!D209)</f>
        <v/>
      </c>
      <c r="AW208" s="12" t="str">
        <f>IF(検体毎項目情報!E209="","",検体毎項目情報!E209)</f>
        <v/>
      </c>
      <c r="AX208" s="12" t="str">
        <f>IF(検体毎項目情報!F209="","",検体毎項目情報!F209)</f>
        <v/>
      </c>
      <c r="AY208" s="12" t="str">
        <f>IF(検体毎項目情報!G209="","",検体毎項目情報!G209)</f>
        <v/>
      </c>
      <c r="AZ208" s="12" t="str">
        <f>IF(検体毎項目情報!H209="","",検体毎項目情報!H209)</f>
        <v/>
      </c>
      <c r="BA208" s="12" t="str">
        <f>IF(検体毎項目情報!I209="","",検体毎項目情報!I209)</f>
        <v/>
      </c>
      <c r="BB208" s="12" t="str">
        <f>IF(検体毎項目情報!J209="","",検体毎項目情報!J209)</f>
        <v/>
      </c>
      <c r="BC208" s="12" t="str">
        <f>IF(検体毎項目情報!K209="","",検体毎項目情報!K209)</f>
        <v/>
      </c>
      <c r="BD208" s="12" t="str">
        <f>IF(検体毎項目情報!L209="","",検体毎項目情報!L209)</f>
        <v/>
      </c>
      <c r="BE208" s="12" t="str">
        <f>IF(検体毎項目情報!M209="","",検体毎項目情報!M209)</f>
        <v/>
      </c>
      <c r="BF208" s="12" t="str">
        <f>IF(検体毎項目情報!N209="","",検体毎項目情報!N209)</f>
        <v/>
      </c>
      <c r="BG208" s="12" t="str">
        <f>IF(検体毎項目情報!O209="","",検体毎項目情報!O209)</f>
        <v/>
      </c>
      <c r="BH208" s="12" t="str">
        <f>IF(検体毎項目情報!P209="","",検体毎項目情報!P209)</f>
        <v/>
      </c>
      <c r="BI208" s="12" t="str">
        <f>IF(検体毎項目情報!Q209="","",検体毎項目情報!Q209)</f>
        <v/>
      </c>
      <c r="BJ208" s="12" t="str">
        <f>IF(検体毎項目情報!R209="","",検体毎項目情報!R209)</f>
        <v/>
      </c>
      <c r="BK208" s="12" t="str">
        <f>IF(検体毎項目情報!S209="","",検体毎項目情報!S209)</f>
        <v/>
      </c>
      <c r="BL208" s="12" t="str">
        <f>IF(検体毎項目情報!T209="","",検体毎項目情報!T209)</f>
        <v/>
      </c>
      <c r="BM208" s="12" t="str">
        <f>IF(検体毎項目情報!U209="","",検体毎項目情報!U209)</f>
        <v/>
      </c>
      <c r="BN208" s="12" t="str">
        <f>IF(検体毎項目情報!V209="","",検体毎項目情報!V209)</f>
        <v/>
      </c>
      <c r="BO208" s="12" t="str">
        <f>IF(検体毎項目情報!W209="","",検体毎項目情報!W209)</f>
        <v/>
      </c>
      <c r="BP208" s="12" t="str">
        <f>IF(検体毎項目情報!X209="","",検体毎項目情報!X209)</f>
        <v/>
      </c>
    </row>
    <row r="209" spans="44:68">
      <c r="AR209" s="32" t="str">
        <f>IF(AS209="","",COUNTIF(費用項目一覧!A:A,判定詳細!AU209))</f>
        <v/>
      </c>
      <c r="AS209" s="12" t="str">
        <f>IF(検体毎項目情報!A210="","",検体毎項目情報!A210)</f>
        <v/>
      </c>
      <c r="AT209" s="12" t="str">
        <f>IF(検体毎項目情報!B210="","",検体毎項目情報!B210)</f>
        <v/>
      </c>
      <c r="AU209" s="12" t="str">
        <f>IF(検体毎項目情報!C210="","",検体毎項目情報!C210)</f>
        <v/>
      </c>
      <c r="AV209" s="12" t="str">
        <f>IF(検体毎項目情報!D210="","",検体毎項目情報!D210)</f>
        <v/>
      </c>
      <c r="AW209" s="12" t="str">
        <f>IF(検体毎項目情報!E210="","",検体毎項目情報!E210)</f>
        <v/>
      </c>
      <c r="AX209" s="12" t="str">
        <f>IF(検体毎項目情報!F210="","",検体毎項目情報!F210)</f>
        <v/>
      </c>
      <c r="AY209" s="12" t="str">
        <f>IF(検体毎項目情報!G210="","",検体毎項目情報!G210)</f>
        <v/>
      </c>
      <c r="AZ209" s="12" t="str">
        <f>IF(検体毎項目情報!H210="","",検体毎項目情報!H210)</f>
        <v/>
      </c>
      <c r="BA209" s="12" t="str">
        <f>IF(検体毎項目情報!I210="","",検体毎項目情報!I210)</f>
        <v/>
      </c>
      <c r="BB209" s="12" t="str">
        <f>IF(検体毎項目情報!J210="","",検体毎項目情報!J210)</f>
        <v/>
      </c>
      <c r="BC209" s="12" t="str">
        <f>IF(検体毎項目情報!K210="","",検体毎項目情報!K210)</f>
        <v/>
      </c>
      <c r="BD209" s="12" t="str">
        <f>IF(検体毎項目情報!L210="","",検体毎項目情報!L210)</f>
        <v/>
      </c>
      <c r="BE209" s="12" t="str">
        <f>IF(検体毎項目情報!M210="","",検体毎項目情報!M210)</f>
        <v/>
      </c>
      <c r="BF209" s="12" t="str">
        <f>IF(検体毎項目情報!N210="","",検体毎項目情報!N210)</f>
        <v/>
      </c>
      <c r="BG209" s="12" t="str">
        <f>IF(検体毎項目情報!O210="","",検体毎項目情報!O210)</f>
        <v/>
      </c>
      <c r="BH209" s="12" t="str">
        <f>IF(検体毎項目情報!P210="","",検体毎項目情報!P210)</f>
        <v/>
      </c>
      <c r="BI209" s="12" t="str">
        <f>IF(検体毎項目情報!Q210="","",検体毎項目情報!Q210)</f>
        <v/>
      </c>
      <c r="BJ209" s="12" t="str">
        <f>IF(検体毎項目情報!R210="","",検体毎項目情報!R210)</f>
        <v/>
      </c>
      <c r="BK209" s="12" t="str">
        <f>IF(検体毎項目情報!S210="","",検体毎項目情報!S210)</f>
        <v/>
      </c>
      <c r="BL209" s="12" t="str">
        <f>IF(検体毎項目情報!T210="","",検体毎項目情報!T210)</f>
        <v/>
      </c>
      <c r="BM209" s="12" t="str">
        <f>IF(検体毎項目情報!U210="","",検体毎項目情報!U210)</f>
        <v/>
      </c>
      <c r="BN209" s="12" t="str">
        <f>IF(検体毎項目情報!V210="","",検体毎項目情報!V210)</f>
        <v/>
      </c>
      <c r="BO209" s="12" t="str">
        <f>IF(検体毎項目情報!W210="","",検体毎項目情報!W210)</f>
        <v/>
      </c>
      <c r="BP209" s="12" t="str">
        <f>IF(検体毎項目情報!X210="","",検体毎項目情報!X210)</f>
        <v/>
      </c>
    </row>
    <row r="210" spans="44:68">
      <c r="AR210" s="32" t="str">
        <f>IF(AS210="","",COUNTIF(費用項目一覧!A:A,判定詳細!AU210))</f>
        <v/>
      </c>
      <c r="AS210" s="12" t="str">
        <f>IF(検体毎項目情報!A211="","",検体毎項目情報!A211)</f>
        <v/>
      </c>
      <c r="AT210" s="12" t="str">
        <f>IF(検体毎項目情報!B211="","",検体毎項目情報!B211)</f>
        <v/>
      </c>
      <c r="AU210" s="12" t="str">
        <f>IF(検体毎項目情報!C211="","",検体毎項目情報!C211)</f>
        <v/>
      </c>
      <c r="AV210" s="12" t="str">
        <f>IF(検体毎項目情報!D211="","",検体毎項目情報!D211)</f>
        <v/>
      </c>
      <c r="AW210" s="12" t="str">
        <f>IF(検体毎項目情報!E211="","",検体毎項目情報!E211)</f>
        <v/>
      </c>
      <c r="AX210" s="12" t="str">
        <f>IF(検体毎項目情報!F211="","",検体毎項目情報!F211)</f>
        <v/>
      </c>
      <c r="AY210" s="12" t="str">
        <f>IF(検体毎項目情報!G211="","",検体毎項目情報!G211)</f>
        <v/>
      </c>
      <c r="AZ210" s="12" t="str">
        <f>IF(検体毎項目情報!H211="","",検体毎項目情報!H211)</f>
        <v/>
      </c>
      <c r="BA210" s="12" t="str">
        <f>IF(検体毎項目情報!I211="","",検体毎項目情報!I211)</f>
        <v/>
      </c>
      <c r="BB210" s="12" t="str">
        <f>IF(検体毎項目情報!J211="","",検体毎項目情報!J211)</f>
        <v/>
      </c>
      <c r="BC210" s="12" t="str">
        <f>IF(検体毎項目情報!K211="","",検体毎項目情報!K211)</f>
        <v/>
      </c>
      <c r="BD210" s="12" t="str">
        <f>IF(検体毎項目情報!L211="","",検体毎項目情報!L211)</f>
        <v/>
      </c>
      <c r="BE210" s="12" t="str">
        <f>IF(検体毎項目情報!M211="","",検体毎項目情報!M211)</f>
        <v/>
      </c>
      <c r="BF210" s="12" t="str">
        <f>IF(検体毎項目情報!N211="","",検体毎項目情報!N211)</f>
        <v/>
      </c>
      <c r="BG210" s="12" t="str">
        <f>IF(検体毎項目情報!O211="","",検体毎項目情報!O211)</f>
        <v/>
      </c>
      <c r="BH210" s="12" t="str">
        <f>IF(検体毎項目情報!P211="","",検体毎項目情報!P211)</f>
        <v/>
      </c>
      <c r="BI210" s="12" t="str">
        <f>IF(検体毎項目情報!Q211="","",検体毎項目情報!Q211)</f>
        <v/>
      </c>
      <c r="BJ210" s="12" t="str">
        <f>IF(検体毎項目情報!R211="","",検体毎項目情報!R211)</f>
        <v/>
      </c>
      <c r="BK210" s="12" t="str">
        <f>IF(検体毎項目情報!S211="","",検体毎項目情報!S211)</f>
        <v/>
      </c>
      <c r="BL210" s="12" t="str">
        <f>IF(検体毎項目情報!T211="","",検体毎項目情報!T211)</f>
        <v/>
      </c>
      <c r="BM210" s="12" t="str">
        <f>IF(検体毎項目情報!U211="","",検体毎項目情報!U211)</f>
        <v/>
      </c>
      <c r="BN210" s="12" t="str">
        <f>IF(検体毎項目情報!V211="","",検体毎項目情報!V211)</f>
        <v/>
      </c>
      <c r="BO210" s="12" t="str">
        <f>IF(検体毎項目情報!W211="","",検体毎項目情報!W211)</f>
        <v/>
      </c>
      <c r="BP210" s="12" t="str">
        <f>IF(検体毎項目情報!X211="","",検体毎項目情報!X211)</f>
        <v/>
      </c>
    </row>
    <row r="211" spans="44:68">
      <c r="AR211" s="32" t="str">
        <f>IF(AS211="","",COUNTIF(費用項目一覧!A:A,判定詳細!AU211))</f>
        <v/>
      </c>
      <c r="AS211" s="12" t="str">
        <f>IF(検体毎項目情報!A212="","",検体毎項目情報!A212)</f>
        <v/>
      </c>
      <c r="AT211" s="12" t="str">
        <f>IF(検体毎項目情報!B212="","",検体毎項目情報!B212)</f>
        <v/>
      </c>
      <c r="AU211" s="12" t="str">
        <f>IF(検体毎項目情報!C212="","",検体毎項目情報!C212)</f>
        <v/>
      </c>
      <c r="AV211" s="12" t="str">
        <f>IF(検体毎項目情報!D212="","",検体毎項目情報!D212)</f>
        <v/>
      </c>
      <c r="AW211" s="12" t="str">
        <f>IF(検体毎項目情報!E212="","",検体毎項目情報!E212)</f>
        <v/>
      </c>
      <c r="AX211" s="12" t="str">
        <f>IF(検体毎項目情報!F212="","",検体毎項目情報!F212)</f>
        <v/>
      </c>
      <c r="AY211" s="12" t="str">
        <f>IF(検体毎項目情報!G212="","",検体毎項目情報!G212)</f>
        <v/>
      </c>
      <c r="AZ211" s="12" t="str">
        <f>IF(検体毎項目情報!H212="","",検体毎項目情報!H212)</f>
        <v/>
      </c>
      <c r="BA211" s="12" t="str">
        <f>IF(検体毎項目情報!I212="","",検体毎項目情報!I212)</f>
        <v/>
      </c>
      <c r="BB211" s="12" t="str">
        <f>IF(検体毎項目情報!J212="","",検体毎項目情報!J212)</f>
        <v/>
      </c>
      <c r="BC211" s="12" t="str">
        <f>IF(検体毎項目情報!K212="","",検体毎項目情報!K212)</f>
        <v/>
      </c>
      <c r="BD211" s="12" t="str">
        <f>IF(検体毎項目情報!L212="","",検体毎項目情報!L212)</f>
        <v/>
      </c>
      <c r="BE211" s="12" t="str">
        <f>IF(検体毎項目情報!M212="","",検体毎項目情報!M212)</f>
        <v/>
      </c>
      <c r="BF211" s="12" t="str">
        <f>IF(検体毎項目情報!N212="","",検体毎項目情報!N212)</f>
        <v/>
      </c>
      <c r="BG211" s="12" t="str">
        <f>IF(検体毎項目情報!O212="","",検体毎項目情報!O212)</f>
        <v/>
      </c>
      <c r="BH211" s="12" t="str">
        <f>IF(検体毎項目情報!P212="","",検体毎項目情報!P212)</f>
        <v/>
      </c>
      <c r="BI211" s="12" t="str">
        <f>IF(検体毎項目情報!Q212="","",検体毎項目情報!Q212)</f>
        <v/>
      </c>
      <c r="BJ211" s="12" t="str">
        <f>IF(検体毎項目情報!R212="","",検体毎項目情報!R212)</f>
        <v/>
      </c>
      <c r="BK211" s="12" t="str">
        <f>IF(検体毎項目情報!S212="","",検体毎項目情報!S212)</f>
        <v/>
      </c>
      <c r="BL211" s="12" t="str">
        <f>IF(検体毎項目情報!T212="","",検体毎項目情報!T212)</f>
        <v/>
      </c>
      <c r="BM211" s="12" t="str">
        <f>IF(検体毎項目情報!U212="","",検体毎項目情報!U212)</f>
        <v/>
      </c>
      <c r="BN211" s="12" t="str">
        <f>IF(検体毎項目情報!V212="","",検体毎項目情報!V212)</f>
        <v/>
      </c>
      <c r="BO211" s="12" t="str">
        <f>IF(検体毎項目情報!W212="","",検体毎項目情報!W212)</f>
        <v/>
      </c>
      <c r="BP211" s="12" t="str">
        <f>IF(検体毎項目情報!X212="","",検体毎項目情報!X212)</f>
        <v/>
      </c>
    </row>
    <row r="212" spans="44:68">
      <c r="AR212" s="32" t="str">
        <f>IF(AS212="","",COUNTIF(費用項目一覧!A:A,判定詳細!AU212))</f>
        <v/>
      </c>
      <c r="AS212" s="12" t="str">
        <f>IF(検体毎項目情報!A213="","",検体毎項目情報!A213)</f>
        <v/>
      </c>
      <c r="AT212" s="12" t="str">
        <f>IF(検体毎項目情報!B213="","",検体毎項目情報!B213)</f>
        <v/>
      </c>
      <c r="AU212" s="12" t="str">
        <f>IF(検体毎項目情報!C213="","",検体毎項目情報!C213)</f>
        <v/>
      </c>
      <c r="AV212" s="12" t="str">
        <f>IF(検体毎項目情報!D213="","",検体毎項目情報!D213)</f>
        <v/>
      </c>
      <c r="AW212" s="12" t="str">
        <f>IF(検体毎項目情報!E213="","",検体毎項目情報!E213)</f>
        <v/>
      </c>
      <c r="AX212" s="12" t="str">
        <f>IF(検体毎項目情報!F213="","",検体毎項目情報!F213)</f>
        <v/>
      </c>
      <c r="AY212" s="12" t="str">
        <f>IF(検体毎項目情報!G213="","",検体毎項目情報!G213)</f>
        <v/>
      </c>
      <c r="AZ212" s="12" t="str">
        <f>IF(検体毎項目情報!H213="","",検体毎項目情報!H213)</f>
        <v/>
      </c>
      <c r="BA212" s="12" t="str">
        <f>IF(検体毎項目情報!I213="","",検体毎項目情報!I213)</f>
        <v/>
      </c>
      <c r="BB212" s="12" t="str">
        <f>IF(検体毎項目情報!J213="","",検体毎項目情報!J213)</f>
        <v/>
      </c>
      <c r="BC212" s="12" t="str">
        <f>IF(検体毎項目情報!K213="","",検体毎項目情報!K213)</f>
        <v/>
      </c>
      <c r="BD212" s="12" t="str">
        <f>IF(検体毎項目情報!L213="","",検体毎項目情報!L213)</f>
        <v/>
      </c>
      <c r="BE212" s="12" t="str">
        <f>IF(検体毎項目情報!M213="","",検体毎項目情報!M213)</f>
        <v/>
      </c>
      <c r="BF212" s="12" t="str">
        <f>IF(検体毎項目情報!N213="","",検体毎項目情報!N213)</f>
        <v/>
      </c>
      <c r="BG212" s="12" t="str">
        <f>IF(検体毎項目情報!O213="","",検体毎項目情報!O213)</f>
        <v/>
      </c>
      <c r="BH212" s="12" t="str">
        <f>IF(検体毎項目情報!P213="","",検体毎項目情報!P213)</f>
        <v/>
      </c>
      <c r="BI212" s="12" t="str">
        <f>IF(検体毎項目情報!Q213="","",検体毎項目情報!Q213)</f>
        <v/>
      </c>
      <c r="BJ212" s="12" t="str">
        <f>IF(検体毎項目情報!R213="","",検体毎項目情報!R213)</f>
        <v/>
      </c>
      <c r="BK212" s="12" t="str">
        <f>IF(検体毎項目情報!S213="","",検体毎項目情報!S213)</f>
        <v/>
      </c>
      <c r="BL212" s="12" t="str">
        <f>IF(検体毎項目情報!T213="","",検体毎項目情報!T213)</f>
        <v/>
      </c>
      <c r="BM212" s="12" t="str">
        <f>IF(検体毎項目情報!U213="","",検体毎項目情報!U213)</f>
        <v/>
      </c>
      <c r="BN212" s="12" t="str">
        <f>IF(検体毎項目情報!V213="","",検体毎項目情報!V213)</f>
        <v/>
      </c>
      <c r="BO212" s="12" t="str">
        <f>IF(検体毎項目情報!W213="","",検体毎項目情報!W213)</f>
        <v/>
      </c>
      <c r="BP212" s="12" t="str">
        <f>IF(検体毎項目情報!X213="","",検体毎項目情報!X213)</f>
        <v/>
      </c>
    </row>
    <row r="213" spans="44:68">
      <c r="AR213" s="32" t="str">
        <f>IF(AS213="","",COUNTIF(費用項目一覧!A:A,判定詳細!AU213))</f>
        <v/>
      </c>
      <c r="AS213" s="12" t="str">
        <f>IF(検体毎項目情報!A214="","",検体毎項目情報!A214)</f>
        <v/>
      </c>
      <c r="AT213" s="12" t="str">
        <f>IF(検体毎項目情報!B214="","",検体毎項目情報!B214)</f>
        <v/>
      </c>
      <c r="AU213" s="12" t="str">
        <f>IF(検体毎項目情報!C214="","",検体毎項目情報!C214)</f>
        <v/>
      </c>
      <c r="AV213" s="12" t="str">
        <f>IF(検体毎項目情報!D214="","",検体毎項目情報!D214)</f>
        <v/>
      </c>
      <c r="AW213" s="12" t="str">
        <f>IF(検体毎項目情報!E214="","",検体毎項目情報!E214)</f>
        <v/>
      </c>
      <c r="AX213" s="12" t="str">
        <f>IF(検体毎項目情報!F214="","",検体毎項目情報!F214)</f>
        <v/>
      </c>
      <c r="AY213" s="12" t="str">
        <f>IF(検体毎項目情報!G214="","",検体毎項目情報!G214)</f>
        <v/>
      </c>
      <c r="AZ213" s="12" t="str">
        <f>IF(検体毎項目情報!H214="","",検体毎項目情報!H214)</f>
        <v/>
      </c>
      <c r="BA213" s="12" t="str">
        <f>IF(検体毎項目情報!I214="","",検体毎項目情報!I214)</f>
        <v/>
      </c>
      <c r="BB213" s="12" t="str">
        <f>IF(検体毎項目情報!J214="","",検体毎項目情報!J214)</f>
        <v/>
      </c>
      <c r="BC213" s="12" t="str">
        <f>IF(検体毎項目情報!K214="","",検体毎項目情報!K214)</f>
        <v/>
      </c>
      <c r="BD213" s="12" t="str">
        <f>IF(検体毎項目情報!L214="","",検体毎項目情報!L214)</f>
        <v/>
      </c>
      <c r="BE213" s="12" t="str">
        <f>IF(検体毎項目情報!M214="","",検体毎項目情報!M214)</f>
        <v/>
      </c>
      <c r="BF213" s="12" t="str">
        <f>IF(検体毎項目情報!N214="","",検体毎項目情報!N214)</f>
        <v/>
      </c>
      <c r="BG213" s="12" t="str">
        <f>IF(検体毎項目情報!O214="","",検体毎項目情報!O214)</f>
        <v/>
      </c>
      <c r="BH213" s="12" t="str">
        <f>IF(検体毎項目情報!P214="","",検体毎項目情報!P214)</f>
        <v/>
      </c>
      <c r="BI213" s="12" t="str">
        <f>IF(検体毎項目情報!Q214="","",検体毎項目情報!Q214)</f>
        <v/>
      </c>
      <c r="BJ213" s="12" t="str">
        <f>IF(検体毎項目情報!R214="","",検体毎項目情報!R214)</f>
        <v/>
      </c>
      <c r="BK213" s="12" t="str">
        <f>IF(検体毎項目情報!S214="","",検体毎項目情報!S214)</f>
        <v/>
      </c>
      <c r="BL213" s="12" t="str">
        <f>IF(検体毎項目情報!T214="","",検体毎項目情報!T214)</f>
        <v/>
      </c>
      <c r="BM213" s="12" t="str">
        <f>IF(検体毎項目情報!U214="","",検体毎項目情報!U214)</f>
        <v/>
      </c>
      <c r="BN213" s="12" t="str">
        <f>IF(検体毎項目情報!V214="","",検体毎項目情報!V214)</f>
        <v/>
      </c>
      <c r="BO213" s="12" t="str">
        <f>IF(検体毎項目情報!W214="","",検体毎項目情報!W214)</f>
        <v/>
      </c>
      <c r="BP213" s="12" t="str">
        <f>IF(検体毎項目情報!X214="","",検体毎項目情報!X214)</f>
        <v/>
      </c>
    </row>
    <row r="214" spans="44:68">
      <c r="AR214" s="32" t="str">
        <f>IF(AS214="","",COUNTIF(費用項目一覧!A:A,判定詳細!AU214))</f>
        <v/>
      </c>
      <c r="AS214" s="12" t="str">
        <f>IF(検体毎項目情報!A215="","",検体毎項目情報!A215)</f>
        <v/>
      </c>
      <c r="AT214" s="12" t="str">
        <f>IF(検体毎項目情報!B215="","",検体毎項目情報!B215)</f>
        <v/>
      </c>
      <c r="AU214" s="12" t="str">
        <f>IF(検体毎項目情報!C215="","",検体毎項目情報!C215)</f>
        <v/>
      </c>
      <c r="AV214" s="12" t="str">
        <f>IF(検体毎項目情報!D215="","",検体毎項目情報!D215)</f>
        <v/>
      </c>
      <c r="AW214" s="12" t="str">
        <f>IF(検体毎項目情報!E215="","",検体毎項目情報!E215)</f>
        <v/>
      </c>
      <c r="AX214" s="12" t="str">
        <f>IF(検体毎項目情報!F215="","",検体毎項目情報!F215)</f>
        <v/>
      </c>
      <c r="AY214" s="12" t="str">
        <f>IF(検体毎項目情報!G215="","",検体毎項目情報!G215)</f>
        <v/>
      </c>
      <c r="AZ214" s="12" t="str">
        <f>IF(検体毎項目情報!H215="","",検体毎項目情報!H215)</f>
        <v/>
      </c>
      <c r="BA214" s="12" t="str">
        <f>IF(検体毎項目情報!I215="","",検体毎項目情報!I215)</f>
        <v/>
      </c>
      <c r="BB214" s="12" t="str">
        <f>IF(検体毎項目情報!J215="","",検体毎項目情報!J215)</f>
        <v/>
      </c>
      <c r="BC214" s="12" t="str">
        <f>IF(検体毎項目情報!K215="","",検体毎項目情報!K215)</f>
        <v/>
      </c>
      <c r="BD214" s="12" t="str">
        <f>IF(検体毎項目情報!L215="","",検体毎項目情報!L215)</f>
        <v/>
      </c>
      <c r="BE214" s="12" t="str">
        <f>IF(検体毎項目情報!M215="","",検体毎項目情報!M215)</f>
        <v/>
      </c>
      <c r="BF214" s="12" t="str">
        <f>IF(検体毎項目情報!N215="","",検体毎項目情報!N215)</f>
        <v/>
      </c>
      <c r="BG214" s="12" t="str">
        <f>IF(検体毎項目情報!O215="","",検体毎項目情報!O215)</f>
        <v/>
      </c>
      <c r="BH214" s="12" t="str">
        <f>IF(検体毎項目情報!P215="","",検体毎項目情報!P215)</f>
        <v/>
      </c>
      <c r="BI214" s="12" t="str">
        <f>IF(検体毎項目情報!Q215="","",検体毎項目情報!Q215)</f>
        <v/>
      </c>
      <c r="BJ214" s="12" t="str">
        <f>IF(検体毎項目情報!R215="","",検体毎項目情報!R215)</f>
        <v/>
      </c>
      <c r="BK214" s="12" t="str">
        <f>IF(検体毎項目情報!S215="","",検体毎項目情報!S215)</f>
        <v/>
      </c>
      <c r="BL214" s="12" t="str">
        <f>IF(検体毎項目情報!T215="","",検体毎項目情報!T215)</f>
        <v/>
      </c>
      <c r="BM214" s="12" t="str">
        <f>IF(検体毎項目情報!U215="","",検体毎項目情報!U215)</f>
        <v/>
      </c>
      <c r="BN214" s="12" t="str">
        <f>IF(検体毎項目情報!V215="","",検体毎項目情報!V215)</f>
        <v/>
      </c>
      <c r="BO214" s="12" t="str">
        <f>IF(検体毎項目情報!W215="","",検体毎項目情報!W215)</f>
        <v/>
      </c>
      <c r="BP214" s="12" t="str">
        <f>IF(検体毎項目情報!X215="","",検体毎項目情報!X215)</f>
        <v/>
      </c>
    </row>
    <row r="215" spans="44:68">
      <c r="AR215" s="32" t="str">
        <f>IF(AS215="","",COUNTIF(費用項目一覧!A:A,判定詳細!AU215))</f>
        <v/>
      </c>
      <c r="AS215" s="12" t="str">
        <f>IF(検体毎項目情報!A216="","",検体毎項目情報!A216)</f>
        <v/>
      </c>
      <c r="AT215" s="12" t="str">
        <f>IF(検体毎項目情報!B216="","",検体毎項目情報!B216)</f>
        <v/>
      </c>
      <c r="AU215" s="12" t="str">
        <f>IF(検体毎項目情報!C216="","",検体毎項目情報!C216)</f>
        <v/>
      </c>
      <c r="AV215" s="12" t="str">
        <f>IF(検体毎項目情報!D216="","",検体毎項目情報!D216)</f>
        <v/>
      </c>
      <c r="AW215" s="12" t="str">
        <f>IF(検体毎項目情報!E216="","",検体毎項目情報!E216)</f>
        <v/>
      </c>
      <c r="AX215" s="12" t="str">
        <f>IF(検体毎項目情報!F216="","",検体毎項目情報!F216)</f>
        <v/>
      </c>
      <c r="AY215" s="12" t="str">
        <f>IF(検体毎項目情報!G216="","",検体毎項目情報!G216)</f>
        <v/>
      </c>
      <c r="AZ215" s="12" t="str">
        <f>IF(検体毎項目情報!H216="","",検体毎項目情報!H216)</f>
        <v/>
      </c>
      <c r="BA215" s="12" t="str">
        <f>IF(検体毎項目情報!I216="","",検体毎項目情報!I216)</f>
        <v/>
      </c>
      <c r="BB215" s="12" t="str">
        <f>IF(検体毎項目情報!J216="","",検体毎項目情報!J216)</f>
        <v/>
      </c>
      <c r="BC215" s="12" t="str">
        <f>IF(検体毎項目情報!K216="","",検体毎項目情報!K216)</f>
        <v/>
      </c>
      <c r="BD215" s="12" t="str">
        <f>IF(検体毎項目情報!L216="","",検体毎項目情報!L216)</f>
        <v/>
      </c>
      <c r="BE215" s="12" t="str">
        <f>IF(検体毎項目情報!M216="","",検体毎項目情報!M216)</f>
        <v/>
      </c>
      <c r="BF215" s="12" t="str">
        <f>IF(検体毎項目情報!N216="","",検体毎項目情報!N216)</f>
        <v/>
      </c>
      <c r="BG215" s="12" t="str">
        <f>IF(検体毎項目情報!O216="","",検体毎項目情報!O216)</f>
        <v/>
      </c>
      <c r="BH215" s="12" t="str">
        <f>IF(検体毎項目情報!P216="","",検体毎項目情報!P216)</f>
        <v/>
      </c>
      <c r="BI215" s="12" t="str">
        <f>IF(検体毎項目情報!Q216="","",検体毎項目情報!Q216)</f>
        <v/>
      </c>
      <c r="BJ215" s="12" t="str">
        <f>IF(検体毎項目情報!R216="","",検体毎項目情報!R216)</f>
        <v/>
      </c>
      <c r="BK215" s="12" t="str">
        <f>IF(検体毎項目情報!S216="","",検体毎項目情報!S216)</f>
        <v/>
      </c>
      <c r="BL215" s="12" t="str">
        <f>IF(検体毎項目情報!T216="","",検体毎項目情報!T216)</f>
        <v/>
      </c>
      <c r="BM215" s="12" t="str">
        <f>IF(検体毎項目情報!U216="","",検体毎項目情報!U216)</f>
        <v/>
      </c>
      <c r="BN215" s="12" t="str">
        <f>IF(検体毎項目情報!V216="","",検体毎項目情報!V216)</f>
        <v/>
      </c>
      <c r="BO215" s="12" t="str">
        <f>IF(検体毎項目情報!W216="","",検体毎項目情報!W216)</f>
        <v/>
      </c>
      <c r="BP215" s="12" t="str">
        <f>IF(検体毎項目情報!X216="","",検体毎項目情報!X216)</f>
        <v/>
      </c>
    </row>
    <row r="216" spans="44:68">
      <c r="AR216" s="32" t="str">
        <f>IF(AS216="","",COUNTIF(費用項目一覧!A:A,判定詳細!AU216))</f>
        <v/>
      </c>
      <c r="AS216" s="12" t="str">
        <f>IF(検体毎項目情報!A217="","",検体毎項目情報!A217)</f>
        <v/>
      </c>
      <c r="AT216" s="12" t="str">
        <f>IF(検体毎項目情報!B217="","",検体毎項目情報!B217)</f>
        <v/>
      </c>
      <c r="AU216" s="12" t="str">
        <f>IF(検体毎項目情報!C217="","",検体毎項目情報!C217)</f>
        <v/>
      </c>
      <c r="AV216" s="12" t="str">
        <f>IF(検体毎項目情報!D217="","",検体毎項目情報!D217)</f>
        <v/>
      </c>
      <c r="AW216" s="12" t="str">
        <f>IF(検体毎項目情報!E217="","",検体毎項目情報!E217)</f>
        <v/>
      </c>
      <c r="AX216" s="12" t="str">
        <f>IF(検体毎項目情報!F217="","",検体毎項目情報!F217)</f>
        <v/>
      </c>
      <c r="AY216" s="12" t="str">
        <f>IF(検体毎項目情報!G217="","",検体毎項目情報!G217)</f>
        <v/>
      </c>
      <c r="AZ216" s="12" t="str">
        <f>IF(検体毎項目情報!H217="","",検体毎項目情報!H217)</f>
        <v/>
      </c>
      <c r="BA216" s="12" t="str">
        <f>IF(検体毎項目情報!I217="","",検体毎項目情報!I217)</f>
        <v/>
      </c>
      <c r="BB216" s="12" t="str">
        <f>IF(検体毎項目情報!J217="","",検体毎項目情報!J217)</f>
        <v/>
      </c>
      <c r="BC216" s="12" t="str">
        <f>IF(検体毎項目情報!K217="","",検体毎項目情報!K217)</f>
        <v/>
      </c>
      <c r="BD216" s="12" t="str">
        <f>IF(検体毎項目情報!L217="","",検体毎項目情報!L217)</f>
        <v/>
      </c>
      <c r="BE216" s="12" t="str">
        <f>IF(検体毎項目情報!M217="","",検体毎項目情報!M217)</f>
        <v/>
      </c>
      <c r="BF216" s="12" t="str">
        <f>IF(検体毎項目情報!N217="","",検体毎項目情報!N217)</f>
        <v/>
      </c>
      <c r="BG216" s="12" t="str">
        <f>IF(検体毎項目情報!O217="","",検体毎項目情報!O217)</f>
        <v/>
      </c>
      <c r="BH216" s="12" t="str">
        <f>IF(検体毎項目情報!P217="","",検体毎項目情報!P217)</f>
        <v/>
      </c>
      <c r="BI216" s="12" t="str">
        <f>IF(検体毎項目情報!Q217="","",検体毎項目情報!Q217)</f>
        <v/>
      </c>
      <c r="BJ216" s="12" t="str">
        <f>IF(検体毎項目情報!R217="","",検体毎項目情報!R217)</f>
        <v/>
      </c>
      <c r="BK216" s="12" t="str">
        <f>IF(検体毎項目情報!S217="","",検体毎項目情報!S217)</f>
        <v/>
      </c>
      <c r="BL216" s="12" t="str">
        <f>IF(検体毎項目情報!T217="","",検体毎項目情報!T217)</f>
        <v/>
      </c>
      <c r="BM216" s="12" t="str">
        <f>IF(検体毎項目情報!U217="","",検体毎項目情報!U217)</f>
        <v/>
      </c>
      <c r="BN216" s="12" t="str">
        <f>IF(検体毎項目情報!V217="","",検体毎項目情報!V217)</f>
        <v/>
      </c>
      <c r="BO216" s="12" t="str">
        <f>IF(検体毎項目情報!W217="","",検体毎項目情報!W217)</f>
        <v/>
      </c>
      <c r="BP216" s="12" t="str">
        <f>IF(検体毎項目情報!X217="","",検体毎項目情報!X217)</f>
        <v/>
      </c>
    </row>
    <row r="217" spans="44:68">
      <c r="AR217" s="32" t="str">
        <f>IF(AS217="","",COUNTIF(費用項目一覧!A:A,判定詳細!AU217))</f>
        <v/>
      </c>
      <c r="AS217" s="12" t="str">
        <f>IF(検体毎項目情報!A218="","",検体毎項目情報!A218)</f>
        <v/>
      </c>
      <c r="AT217" s="12" t="str">
        <f>IF(検体毎項目情報!B218="","",検体毎項目情報!B218)</f>
        <v/>
      </c>
      <c r="AU217" s="12" t="str">
        <f>IF(検体毎項目情報!C218="","",検体毎項目情報!C218)</f>
        <v/>
      </c>
      <c r="AV217" s="12" t="str">
        <f>IF(検体毎項目情報!D218="","",検体毎項目情報!D218)</f>
        <v/>
      </c>
      <c r="AW217" s="12" t="str">
        <f>IF(検体毎項目情報!E218="","",検体毎項目情報!E218)</f>
        <v/>
      </c>
      <c r="AX217" s="12" t="str">
        <f>IF(検体毎項目情報!F218="","",検体毎項目情報!F218)</f>
        <v/>
      </c>
      <c r="AY217" s="12" t="str">
        <f>IF(検体毎項目情報!G218="","",検体毎項目情報!G218)</f>
        <v/>
      </c>
      <c r="AZ217" s="12" t="str">
        <f>IF(検体毎項目情報!H218="","",検体毎項目情報!H218)</f>
        <v/>
      </c>
      <c r="BA217" s="12" t="str">
        <f>IF(検体毎項目情報!I218="","",検体毎項目情報!I218)</f>
        <v/>
      </c>
      <c r="BB217" s="12" t="str">
        <f>IF(検体毎項目情報!J218="","",検体毎項目情報!J218)</f>
        <v/>
      </c>
      <c r="BC217" s="12" t="str">
        <f>IF(検体毎項目情報!K218="","",検体毎項目情報!K218)</f>
        <v/>
      </c>
      <c r="BD217" s="12" t="str">
        <f>IF(検体毎項目情報!L218="","",検体毎項目情報!L218)</f>
        <v/>
      </c>
      <c r="BE217" s="12" t="str">
        <f>IF(検体毎項目情報!M218="","",検体毎項目情報!M218)</f>
        <v/>
      </c>
      <c r="BF217" s="12" t="str">
        <f>IF(検体毎項目情報!N218="","",検体毎項目情報!N218)</f>
        <v/>
      </c>
      <c r="BG217" s="12" t="str">
        <f>IF(検体毎項目情報!O218="","",検体毎項目情報!O218)</f>
        <v/>
      </c>
      <c r="BH217" s="12" t="str">
        <f>IF(検体毎項目情報!P218="","",検体毎項目情報!P218)</f>
        <v/>
      </c>
      <c r="BI217" s="12" t="str">
        <f>IF(検体毎項目情報!Q218="","",検体毎項目情報!Q218)</f>
        <v/>
      </c>
      <c r="BJ217" s="12" t="str">
        <f>IF(検体毎項目情報!R218="","",検体毎項目情報!R218)</f>
        <v/>
      </c>
      <c r="BK217" s="12" t="str">
        <f>IF(検体毎項目情報!S218="","",検体毎項目情報!S218)</f>
        <v/>
      </c>
      <c r="BL217" s="12" t="str">
        <f>IF(検体毎項目情報!T218="","",検体毎項目情報!T218)</f>
        <v/>
      </c>
      <c r="BM217" s="12" t="str">
        <f>IF(検体毎項目情報!U218="","",検体毎項目情報!U218)</f>
        <v/>
      </c>
      <c r="BN217" s="12" t="str">
        <f>IF(検体毎項目情報!V218="","",検体毎項目情報!V218)</f>
        <v/>
      </c>
      <c r="BO217" s="12" t="str">
        <f>IF(検体毎項目情報!W218="","",検体毎項目情報!W218)</f>
        <v/>
      </c>
      <c r="BP217" s="12" t="str">
        <f>IF(検体毎項目情報!X218="","",検体毎項目情報!X218)</f>
        <v/>
      </c>
    </row>
    <row r="218" spans="44:68">
      <c r="AR218" s="32" t="str">
        <f>IF(AS218="","",COUNTIF(費用項目一覧!A:A,判定詳細!AU218))</f>
        <v/>
      </c>
      <c r="AS218" s="12" t="str">
        <f>IF(検体毎項目情報!A219="","",検体毎項目情報!A219)</f>
        <v/>
      </c>
      <c r="AT218" s="12" t="str">
        <f>IF(検体毎項目情報!B219="","",検体毎項目情報!B219)</f>
        <v/>
      </c>
      <c r="AU218" s="12" t="str">
        <f>IF(検体毎項目情報!C219="","",検体毎項目情報!C219)</f>
        <v/>
      </c>
      <c r="AV218" s="12" t="str">
        <f>IF(検体毎項目情報!D219="","",検体毎項目情報!D219)</f>
        <v/>
      </c>
      <c r="AW218" s="12" t="str">
        <f>IF(検体毎項目情報!E219="","",検体毎項目情報!E219)</f>
        <v/>
      </c>
      <c r="AX218" s="12" t="str">
        <f>IF(検体毎項目情報!F219="","",検体毎項目情報!F219)</f>
        <v/>
      </c>
      <c r="AY218" s="12" t="str">
        <f>IF(検体毎項目情報!G219="","",検体毎項目情報!G219)</f>
        <v/>
      </c>
      <c r="AZ218" s="12" t="str">
        <f>IF(検体毎項目情報!H219="","",検体毎項目情報!H219)</f>
        <v/>
      </c>
      <c r="BA218" s="12" t="str">
        <f>IF(検体毎項目情報!I219="","",検体毎項目情報!I219)</f>
        <v/>
      </c>
      <c r="BB218" s="12" t="str">
        <f>IF(検体毎項目情報!J219="","",検体毎項目情報!J219)</f>
        <v/>
      </c>
      <c r="BC218" s="12" t="str">
        <f>IF(検体毎項目情報!K219="","",検体毎項目情報!K219)</f>
        <v/>
      </c>
      <c r="BD218" s="12" t="str">
        <f>IF(検体毎項目情報!L219="","",検体毎項目情報!L219)</f>
        <v/>
      </c>
      <c r="BE218" s="12" t="str">
        <f>IF(検体毎項目情報!M219="","",検体毎項目情報!M219)</f>
        <v/>
      </c>
      <c r="BF218" s="12" t="str">
        <f>IF(検体毎項目情報!N219="","",検体毎項目情報!N219)</f>
        <v/>
      </c>
      <c r="BG218" s="12" t="str">
        <f>IF(検体毎項目情報!O219="","",検体毎項目情報!O219)</f>
        <v/>
      </c>
      <c r="BH218" s="12" t="str">
        <f>IF(検体毎項目情報!P219="","",検体毎項目情報!P219)</f>
        <v/>
      </c>
      <c r="BI218" s="12" t="str">
        <f>IF(検体毎項目情報!Q219="","",検体毎項目情報!Q219)</f>
        <v/>
      </c>
      <c r="BJ218" s="12" t="str">
        <f>IF(検体毎項目情報!R219="","",検体毎項目情報!R219)</f>
        <v/>
      </c>
      <c r="BK218" s="12" t="str">
        <f>IF(検体毎項目情報!S219="","",検体毎項目情報!S219)</f>
        <v/>
      </c>
      <c r="BL218" s="12" t="str">
        <f>IF(検体毎項目情報!T219="","",検体毎項目情報!T219)</f>
        <v/>
      </c>
      <c r="BM218" s="12" t="str">
        <f>IF(検体毎項目情報!U219="","",検体毎項目情報!U219)</f>
        <v/>
      </c>
      <c r="BN218" s="12" t="str">
        <f>IF(検体毎項目情報!V219="","",検体毎項目情報!V219)</f>
        <v/>
      </c>
      <c r="BO218" s="12" t="str">
        <f>IF(検体毎項目情報!W219="","",検体毎項目情報!W219)</f>
        <v/>
      </c>
      <c r="BP218" s="12" t="str">
        <f>IF(検体毎項目情報!X219="","",検体毎項目情報!X219)</f>
        <v/>
      </c>
    </row>
    <row r="219" spans="44:68">
      <c r="AR219" s="32" t="str">
        <f>IF(AS219="","",COUNTIF(費用項目一覧!A:A,判定詳細!AU219))</f>
        <v/>
      </c>
      <c r="AS219" s="12" t="str">
        <f>IF(検体毎項目情報!A220="","",検体毎項目情報!A220)</f>
        <v/>
      </c>
      <c r="AT219" s="12" t="str">
        <f>IF(検体毎項目情報!B220="","",検体毎項目情報!B220)</f>
        <v/>
      </c>
      <c r="AU219" s="12" t="str">
        <f>IF(検体毎項目情報!C220="","",検体毎項目情報!C220)</f>
        <v/>
      </c>
      <c r="AV219" s="12" t="str">
        <f>IF(検体毎項目情報!D220="","",検体毎項目情報!D220)</f>
        <v/>
      </c>
      <c r="AW219" s="12" t="str">
        <f>IF(検体毎項目情報!E220="","",検体毎項目情報!E220)</f>
        <v/>
      </c>
      <c r="AX219" s="12" t="str">
        <f>IF(検体毎項目情報!F220="","",検体毎項目情報!F220)</f>
        <v/>
      </c>
      <c r="AY219" s="12" t="str">
        <f>IF(検体毎項目情報!G220="","",検体毎項目情報!G220)</f>
        <v/>
      </c>
      <c r="AZ219" s="12" t="str">
        <f>IF(検体毎項目情報!H220="","",検体毎項目情報!H220)</f>
        <v/>
      </c>
      <c r="BA219" s="12" t="str">
        <f>IF(検体毎項目情報!I220="","",検体毎項目情報!I220)</f>
        <v/>
      </c>
      <c r="BB219" s="12" t="str">
        <f>IF(検体毎項目情報!J220="","",検体毎項目情報!J220)</f>
        <v/>
      </c>
      <c r="BC219" s="12" t="str">
        <f>IF(検体毎項目情報!K220="","",検体毎項目情報!K220)</f>
        <v/>
      </c>
      <c r="BD219" s="12" t="str">
        <f>IF(検体毎項目情報!L220="","",検体毎項目情報!L220)</f>
        <v/>
      </c>
      <c r="BE219" s="12" t="str">
        <f>IF(検体毎項目情報!M220="","",検体毎項目情報!M220)</f>
        <v/>
      </c>
      <c r="BF219" s="12" t="str">
        <f>IF(検体毎項目情報!N220="","",検体毎項目情報!N220)</f>
        <v/>
      </c>
      <c r="BG219" s="12" t="str">
        <f>IF(検体毎項目情報!O220="","",検体毎項目情報!O220)</f>
        <v/>
      </c>
      <c r="BH219" s="12" t="str">
        <f>IF(検体毎項目情報!P220="","",検体毎項目情報!P220)</f>
        <v/>
      </c>
      <c r="BI219" s="12" t="str">
        <f>IF(検体毎項目情報!Q220="","",検体毎項目情報!Q220)</f>
        <v/>
      </c>
      <c r="BJ219" s="12" t="str">
        <f>IF(検体毎項目情報!R220="","",検体毎項目情報!R220)</f>
        <v/>
      </c>
      <c r="BK219" s="12" t="str">
        <f>IF(検体毎項目情報!S220="","",検体毎項目情報!S220)</f>
        <v/>
      </c>
      <c r="BL219" s="12" t="str">
        <f>IF(検体毎項目情報!T220="","",検体毎項目情報!T220)</f>
        <v/>
      </c>
      <c r="BM219" s="12" t="str">
        <f>IF(検体毎項目情報!U220="","",検体毎項目情報!U220)</f>
        <v/>
      </c>
      <c r="BN219" s="12" t="str">
        <f>IF(検体毎項目情報!V220="","",検体毎項目情報!V220)</f>
        <v/>
      </c>
      <c r="BO219" s="12" t="str">
        <f>IF(検体毎項目情報!W220="","",検体毎項目情報!W220)</f>
        <v/>
      </c>
      <c r="BP219" s="12" t="str">
        <f>IF(検体毎項目情報!X220="","",検体毎項目情報!X220)</f>
        <v/>
      </c>
    </row>
    <row r="220" spans="44:68">
      <c r="AR220" s="32" t="str">
        <f>IF(AS220="","",COUNTIF(費用項目一覧!A:A,判定詳細!AU220))</f>
        <v/>
      </c>
      <c r="AS220" s="12" t="str">
        <f>IF(検体毎項目情報!A221="","",検体毎項目情報!A221)</f>
        <v/>
      </c>
      <c r="AT220" s="12" t="str">
        <f>IF(検体毎項目情報!B221="","",検体毎項目情報!B221)</f>
        <v/>
      </c>
      <c r="AU220" s="12" t="str">
        <f>IF(検体毎項目情報!C221="","",検体毎項目情報!C221)</f>
        <v/>
      </c>
      <c r="AV220" s="12" t="str">
        <f>IF(検体毎項目情報!D221="","",検体毎項目情報!D221)</f>
        <v/>
      </c>
      <c r="AW220" s="12" t="str">
        <f>IF(検体毎項目情報!E221="","",検体毎項目情報!E221)</f>
        <v/>
      </c>
      <c r="AX220" s="12" t="str">
        <f>IF(検体毎項目情報!F221="","",検体毎項目情報!F221)</f>
        <v/>
      </c>
      <c r="AY220" s="12" t="str">
        <f>IF(検体毎項目情報!G221="","",検体毎項目情報!G221)</f>
        <v/>
      </c>
      <c r="AZ220" s="12" t="str">
        <f>IF(検体毎項目情報!H221="","",検体毎項目情報!H221)</f>
        <v/>
      </c>
      <c r="BA220" s="12" t="str">
        <f>IF(検体毎項目情報!I221="","",検体毎項目情報!I221)</f>
        <v/>
      </c>
      <c r="BB220" s="12" t="str">
        <f>IF(検体毎項目情報!J221="","",検体毎項目情報!J221)</f>
        <v/>
      </c>
      <c r="BC220" s="12" t="str">
        <f>IF(検体毎項目情報!K221="","",検体毎項目情報!K221)</f>
        <v/>
      </c>
      <c r="BD220" s="12" t="str">
        <f>IF(検体毎項目情報!L221="","",検体毎項目情報!L221)</f>
        <v/>
      </c>
      <c r="BE220" s="12" t="str">
        <f>IF(検体毎項目情報!M221="","",検体毎項目情報!M221)</f>
        <v/>
      </c>
      <c r="BF220" s="12" t="str">
        <f>IF(検体毎項目情報!N221="","",検体毎項目情報!N221)</f>
        <v/>
      </c>
      <c r="BG220" s="12" t="str">
        <f>IF(検体毎項目情報!O221="","",検体毎項目情報!O221)</f>
        <v/>
      </c>
      <c r="BH220" s="12" t="str">
        <f>IF(検体毎項目情報!P221="","",検体毎項目情報!P221)</f>
        <v/>
      </c>
      <c r="BI220" s="12" t="str">
        <f>IF(検体毎項目情報!Q221="","",検体毎項目情報!Q221)</f>
        <v/>
      </c>
      <c r="BJ220" s="12" t="str">
        <f>IF(検体毎項目情報!R221="","",検体毎項目情報!R221)</f>
        <v/>
      </c>
      <c r="BK220" s="12" t="str">
        <f>IF(検体毎項目情報!S221="","",検体毎項目情報!S221)</f>
        <v/>
      </c>
      <c r="BL220" s="12" t="str">
        <f>IF(検体毎項目情報!T221="","",検体毎項目情報!T221)</f>
        <v/>
      </c>
      <c r="BM220" s="12" t="str">
        <f>IF(検体毎項目情報!U221="","",検体毎項目情報!U221)</f>
        <v/>
      </c>
      <c r="BN220" s="12" t="str">
        <f>IF(検体毎項目情報!V221="","",検体毎項目情報!V221)</f>
        <v/>
      </c>
      <c r="BO220" s="12" t="str">
        <f>IF(検体毎項目情報!W221="","",検体毎項目情報!W221)</f>
        <v/>
      </c>
      <c r="BP220" s="12" t="str">
        <f>IF(検体毎項目情報!X221="","",検体毎項目情報!X221)</f>
        <v/>
      </c>
    </row>
    <row r="221" spans="44:68">
      <c r="AR221" s="32" t="str">
        <f>IF(AS221="","",COUNTIF(費用項目一覧!A:A,判定詳細!AU221))</f>
        <v/>
      </c>
      <c r="AS221" s="12" t="str">
        <f>IF(検体毎項目情報!A222="","",検体毎項目情報!A222)</f>
        <v/>
      </c>
      <c r="AT221" s="12" t="str">
        <f>IF(検体毎項目情報!B222="","",検体毎項目情報!B222)</f>
        <v/>
      </c>
      <c r="AU221" s="12" t="str">
        <f>IF(検体毎項目情報!C222="","",検体毎項目情報!C222)</f>
        <v/>
      </c>
      <c r="AV221" s="12" t="str">
        <f>IF(検体毎項目情報!D222="","",検体毎項目情報!D222)</f>
        <v/>
      </c>
      <c r="AW221" s="12" t="str">
        <f>IF(検体毎項目情報!E222="","",検体毎項目情報!E222)</f>
        <v/>
      </c>
      <c r="AX221" s="12" t="str">
        <f>IF(検体毎項目情報!F222="","",検体毎項目情報!F222)</f>
        <v/>
      </c>
      <c r="AY221" s="12" t="str">
        <f>IF(検体毎項目情報!G222="","",検体毎項目情報!G222)</f>
        <v/>
      </c>
      <c r="AZ221" s="12" t="str">
        <f>IF(検体毎項目情報!H222="","",検体毎項目情報!H222)</f>
        <v/>
      </c>
      <c r="BA221" s="12" t="str">
        <f>IF(検体毎項目情報!I222="","",検体毎項目情報!I222)</f>
        <v/>
      </c>
      <c r="BB221" s="12" t="str">
        <f>IF(検体毎項目情報!J222="","",検体毎項目情報!J222)</f>
        <v/>
      </c>
      <c r="BC221" s="12" t="str">
        <f>IF(検体毎項目情報!K222="","",検体毎項目情報!K222)</f>
        <v/>
      </c>
      <c r="BD221" s="12" t="str">
        <f>IF(検体毎項目情報!L222="","",検体毎項目情報!L222)</f>
        <v/>
      </c>
      <c r="BE221" s="12" t="str">
        <f>IF(検体毎項目情報!M222="","",検体毎項目情報!M222)</f>
        <v/>
      </c>
      <c r="BF221" s="12" t="str">
        <f>IF(検体毎項目情報!N222="","",検体毎項目情報!N222)</f>
        <v/>
      </c>
      <c r="BG221" s="12" t="str">
        <f>IF(検体毎項目情報!O222="","",検体毎項目情報!O222)</f>
        <v/>
      </c>
      <c r="BH221" s="12" t="str">
        <f>IF(検体毎項目情報!P222="","",検体毎項目情報!P222)</f>
        <v/>
      </c>
      <c r="BI221" s="12" t="str">
        <f>IF(検体毎項目情報!Q222="","",検体毎項目情報!Q222)</f>
        <v/>
      </c>
      <c r="BJ221" s="12" t="str">
        <f>IF(検体毎項目情報!R222="","",検体毎項目情報!R222)</f>
        <v/>
      </c>
      <c r="BK221" s="12" t="str">
        <f>IF(検体毎項目情報!S222="","",検体毎項目情報!S222)</f>
        <v/>
      </c>
      <c r="BL221" s="12" t="str">
        <f>IF(検体毎項目情報!T222="","",検体毎項目情報!T222)</f>
        <v/>
      </c>
      <c r="BM221" s="12" t="str">
        <f>IF(検体毎項目情報!U222="","",検体毎項目情報!U222)</f>
        <v/>
      </c>
      <c r="BN221" s="12" t="str">
        <f>IF(検体毎項目情報!V222="","",検体毎項目情報!V222)</f>
        <v/>
      </c>
      <c r="BO221" s="12" t="str">
        <f>IF(検体毎項目情報!W222="","",検体毎項目情報!W222)</f>
        <v/>
      </c>
      <c r="BP221" s="12" t="str">
        <f>IF(検体毎項目情報!X222="","",検体毎項目情報!X222)</f>
        <v/>
      </c>
    </row>
    <row r="222" spans="44:68">
      <c r="AR222" s="32" t="str">
        <f>IF(AS222="","",COUNTIF(費用項目一覧!A:A,判定詳細!AU222))</f>
        <v/>
      </c>
      <c r="AS222" s="12" t="str">
        <f>IF(検体毎項目情報!A223="","",検体毎項目情報!A223)</f>
        <v/>
      </c>
      <c r="AT222" s="12" t="str">
        <f>IF(検体毎項目情報!B223="","",検体毎項目情報!B223)</f>
        <v/>
      </c>
      <c r="AU222" s="12" t="str">
        <f>IF(検体毎項目情報!C223="","",検体毎項目情報!C223)</f>
        <v/>
      </c>
      <c r="AV222" s="12" t="str">
        <f>IF(検体毎項目情報!D223="","",検体毎項目情報!D223)</f>
        <v/>
      </c>
      <c r="AW222" s="12" t="str">
        <f>IF(検体毎項目情報!E223="","",検体毎項目情報!E223)</f>
        <v/>
      </c>
      <c r="AX222" s="12" t="str">
        <f>IF(検体毎項目情報!F223="","",検体毎項目情報!F223)</f>
        <v/>
      </c>
      <c r="AY222" s="12" t="str">
        <f>IF(検体毎項目情報!G223="","",検体毎項目情報!G223)</f>
        <v/>
      </c>
      <c r="AZ222" s="12" t="str">
        <f>IF(検体毎項目情報!H223="","",検体毎項目情報!H223)</f>
        <v/>
      </c>
      <c r="BA222" s="12" t="str">
        <f>IF(検体毎項目情報!I223="","",検体毎項目情報!I223)</f>
        <v/>
      </c>
      <c r="BB222" s="12" t="str">
        <f>IF(検体毎項目情報!J223="","",検体毎項目情報!J223)</f>
        <v/>
      </c>
      <c r="BC222" s="12" t="str">
        <f>IF(検体毎項目情報!K223="","",検体毎項目情報!K223)</f>
        <v/>
      </c>
      <c r="BD222" s="12" t="str">
        <f>IF(検体毎項目情報!L223="","",検体毎項目情報!L223)</f>
        <v/>
      </c>
      <c r="BE222" s="12" t="str">
        <f>IF(検体毎項目情報!M223="","",検体毎項目情報!M223)</f>
        <v/>
      </c>
      <c r="BF222" s="12" t="str">
        <f>IF(検体毎項目情報!N223="","",検体毎項目情報!N223)</f>
        <v/>
      </c>
      <c r="BG222" s="12" t="str">
        <f>IF(検体毎項目情報!O223="","",検体毎項目情報!O223)</f>
        <v/>
      </c>
      <c r="BH222" s="12" t="str">
        <f>IF(検体毎項目情報!P223="","",検体毎項目情報!P223)</f>
        <v/>
      </c>
      <c r="BI222" s="12" t="str">
        <f>IF(検体毎項目情報!Q223="","",検体毎項目情報!Q223)</f>
        <v/>
      </c>
      <c r="BJ222" s="12" t="str">
        <f>IF(検体毎項目情報!R223="","",検体毎項目情報!R223)</f>
        <v/>
      </c>
      <c r="BK222" s="12" t="str">
        <f>IF(検体毎項目情報!S223="","",検体毎項目情報!S223)</f>
        <v/>
      </c>
      <c r="BL222" s="12" t="str">
        <f>IF(検体毎項目情報!T223="","",検体毎項目情報!T223)</f>
        <v/>
      </c>
      <c r="BM222" s="12" t="str">
        <f>IF(検体毎項目情報!U223="","",検体毎項目情報!U223)</f>
        <v/>
      </c>
      <c r="BN222" s="12" t="str">
        <f>IF(検体毎項目情報!V223="","",検体毎項目情報!V223)</f>
        <v/>
      </c>
      <c r="BO222" s="12" t="str">
        <f>IF(検体毎項目情報!W223="","",検体毎項目情報!W223)</f>
        <v/>
      </c>
      <c r="BP222" s="12" t="str">
        <f>IF(検体毎項目情報!X223="","",検体毎項目情報!X223)</f>
        <v/>
      </c>
    </row>
    <row r="223" spans="44:68">
      <c r="AR223" s="32" t="str">
        <f>IF(AS223="","",COUNTIF(費用項目一覧!A:A,判定詳細!AU223))</f>
        <v/>
      </c>
      <c r="AS223" s="12" t="str">
        <f>IF(検体毎項目情報!A224="","",検体毎項目情報!A224)</f>
        <v/>
      </c>
      <c r="AT223" s="12" t="str">
        <f>IF(検体毎項目情報!B224="","",検体毎項目情報!B224)</f>
        <v/>
      </c>
      <c r="AU223" s="12" t="str">
        <f>IF(検体毎項目情報!C224="","",検体毎項目情報!C224)</f>
        <v/>
      </c>
      <c r="AV223" s="12" t="str">
        <f>IF(検体毎項目情報!D224="","",検体毎項目情報!D224)</f>
        <v/>
      </c>
      <c r="AW223" s="12" t="str">
        <f>IF(検体毎項目情報!E224="","",検体毎項目情報!E224)</f>
        <v/>
      </c>
      <c r="AX223" s="12" t="str">
        <f>IF(検体毎項目情報!F224="","",検体毎項目情報!F224)</f>
        <v/>
      </c>
      <c r="AY223" s="12" t="str">
        <f>IF(検体毎項目情報!G224="","",検体毎項目情報!G224)</f>
        <v/>
      </c>
      <c r="AZ223" s="12" t="str">
        <f>IF(検体毎項目情報!H224="","",検体毎項目情報!H224)</f>
        <v/>
      </c>
      <c r="BA223" s="12" t="str">
        <f>IF(検体毎項目情報!I224="","",検体毎項目情報!I224)</f>
        <v/>
      </c>
      <c r="BB223" s="12" t="str">
        <f>IF(検体毎項目情報!J224="","",検体毎項目情報!J224)</f>
        <v/>
      </c>
      <c r="BC223" s="12" t="str">
        <f>IF(検体毎項目情報!K224="","",検体毎項目情報!K224)</f>
        <v/>
      </c>
      <c r="BD223" s="12" t="str">
        <f>IF(検体毎項目情報!L224="","",検体毎項目情報!L224)</f>
        <v/>
      </c>
      <c r="BE223" s="12" t="str">
        <f>IF(検体毎項目情報!M224="","",検体毎項目情報!M224)</f>
        <v/>
      </c>
      <c r="BF223" s="12" t="str">
        <f>IF(検体毎項目情報!N224="","",検体毎項目情報!N224)</f>
        <v/>
      </c>
      <c r="BG223" s="12" t="str">
        <f>IF(検体毎項目情報!O224="","",検体毎項目情報!O224)</f>
        <v/>
      </c>
      <c r="BH223" s="12" t="str">
        <f>IF(検体毎項目情報!P224="","",検体毎項目情報!P224)</f>
        <v/>
      </c>
      <c r="BI223" s="12" t="str">
        <f>IF(検体毎項目情報!Q224="","",検体毎項目情報!Q224)</f>
        <v/>
      </c>
      <c r="BJ223" s="12" t="str">
        <f>IF(検体毎項目情報!R224="","",検体毎項目情報!R224)</f>
        <v/>
      </c>
      <c r="BK223" s="12" t="str">
        <f>IF(検体毎項目情報!S224="","",検体毎項目情報!S224)</f>
        <v/>
      </c>
      <c r="BL223" s="12" t="str">
        <f>IF(検体毎項目情報!T224="","",検体毎項目情報!T224)</f>
        <v/>
      </c>
      <c r="BM223" s="12" t="str">
        <f>IF(検体毎項目情報!U224="","",検体毎項目情報!U224)</f>
        <v/>
      </c>
      <c r="BN223" s="12" t="str">
        <f>IF(検体毎項目情報!V224="","",検体毎項目情報!V224)</f>
        <v/>
      </c>
      <c r="BO223" s="12" t="str">
        <f>IF(検体毎項目情報!W224="","",検体毎項目情報!W224)</f>
        <v/>
      </c>
      <c r="BP223" s="12" t="str">
        <f>IF(検体毎項目情報!X224="","",検体毎項目情報!X224)</f>
        <v/>
      </c>
    </row>
    <row r="224" spans="44:68">
      <c r="AR224" s="32" t="str">
        <f>IF(AS224="","",COUNTIF(費用項目一覧!A:A,判定詳細!AU224))</f>
        <v/>
      </c>
      <c r="AS224" s="12" t="str">
        <f>IF(検体毎項目情報!A225="","",検体毎項目情報!A225)</f>
        <v/>
      </c>
      <c r="AT224" s="12" t="str">
        <f>IF(検体毎項目情報!B225="","",検体毎項目情報!B225)</f>
        <v/>
      </c>
      <c r="AU224" s="12" t="str">
        <f>IF(検体毎項目情報!C225="","",検体毎項目情報!C225)</f>
        <v/>
      </c>
      <c r="AV224" s="12" t="str">
        <f>IF(検体毎項目情報!D225="","",検体毎項目情報!D225)</f>
        <v/>
      </c>
      <c r="AW224" s="12" t="str">
        <f>IF(検体毎項目情報!E225="","",検体毎項目情報!E225)</f>
        <v/>
      </c>
      <c r="AX224" s="12" t="str">
        <f>IF(検体毎項目情報!F225="","",検体毎項目情報!F225)</f>
        <v/>
      </c>
      <c r="AY224" s="12" t="str">
        <f>IF(検体毎項目情報!G225="","",検体毎項目情報!G225)</f>
        <v/>
      </c>
      <c r="AZ224" s="12" t="str">
        <f>IF(検体毎項目情報!H225="","",検体毎項目情報!H225)</f>
        <v/>
      </c>
      <c r="BA224" s="12" t="str">
        <f>IF(検体毎項目情報!I225="","",検体毎項目情報!I225)</f>
        <v/>
      </c>
      <c r="BB224" s="12" t="str">
        <f>IF(検体毎項目情報!J225="","",検体毎項目情報!J225)</f>
        <v/>
      </c>
      <c r="BC224" s="12" t="str">
        <f>IF(検体毎項目情報!K225="","",検体毎項目情報!K225)</f>
        <v/>
      </c>
      <c r="BD224" s="12" t="str">
        <f>IF(検体毎項目情報!L225="","",検体毎項目情報!L225)</f>
        <v/>
      </c>
      <c r="BE224" s="12" t="str">
        <f>IF(検体毎項目情報!M225="","",検体毎項目情報!M225)</f>
        <v/>
      </c>
      <c r="BF224" s="12" t="str">
        <f>IF(検体毎項目情報!N225="","",検体毎項目情報!N225)</f>
        <v/>
      </c>
      <c r="BG224" s="12" t="str">
        <f>IF(検体毎項目情報!O225="","",検体毎項目情報!O225)</f>
        <v/>
      </c>
      <c r="BH224" s="12" t="str">
        <f>IF(検体毎項目情報!P225="","",検体毎項目情報!P225)</f>
        <v/>
      </c>
      <c r="BI224" s="12" t="str">
        <f>IF(検体毎項目情報!Q225="","",検体毎項目情報!Q225)</f>
        <v/>
      </c>
      <c r="BJ224" s="12" t="str">
        <f>IF(検体毎項目情報!R225="","",検体毎項目情報!R225)</f>
        <v/>
      </c>
      <c r="BK224" s="12" t="str">
        <f>IF(検体毎項目情報!S225="","",検体毎項目情報!S225)</f>
        <v/>
      </c>
      <c r="BL224" s="12" t="str">
        <f>IF(検体毎項目情報!T225="","",検体毎項目情報!T225)</f>
        <v/>
      </c>
      <c r="BM224" s="12" t="str">
        <f>IF(検体毎項目情報!U225="","",検体毎項目情報!U225)</f>
        <v/>
      </c>
      <c r="BN224" s="12" t="str">
        <f>IF(検体毎項目情報!V225="","",検体毎項目情報!V225)</f>
        <v/>
      </c>
      <c r="BO224" s="12" t="str">
        <f>IF(検体毎項目情報!W225="","",検体毎項目情報!W225)</f>
        <v/>
      </c>
      <c r="BP224" s="12" t="str">
        <f>IF(検体毎項目情報!X225="","",検体毎項目情報!X225)</f>
        <v/>
      </c>
    </row>
    <row r="225" spans="44:68">
      <c r="AR225" s="32" t="str">
        <f>IF(AS225="","",COUNTIF(費用項目一覧!A:A,判定詳細!AU225))</f>
        <v/>
      </c>
      <c r="AS225" s="12" t="str">
        <f>IF(検体毎項目情報!A226="","",検体毎項目情報!A226)</f>
        <v/>
      </c>
      <c r="AT225" s="12" t="str">
        <f>IF(検体毎項目情報!B226="","",検体毎項目情報!B226)</f>
        <v/>
      </c>
      <c r="AU225" s="12" t="str">
        <f>IF(検体毎項目情報!C226="","",検体毎項目情報!C226)</f>
        <v/>
      </c>
      <c r="AV225" s="12" t="str">
        <f>IF(検体毎項目情報!D226="","",検体毎項目情報!D226)</f>
        <v/>
      </c>
      <c r="AW225" s="12" t="str">
        <f>IF(検体毎項目情報!E226="","",検体毎項目情報!E226)</f>
        <v/>
      </c>
      <c r="AX225" s="12" t="str">
        <f>IF(検体毎項目情報!F226="","",検体毎項目情報!F226)</f>
        <v/>
      </c>
      <c r="AY225" s="12" t="str">
        <f>IF(検体毎項目情報!G226="","",検体毎項目情報!G226)</f>
        <v/>
      </c>
      <c r="AZ225" s="12" t="str">
        <f>IF(検体毎項目情報!H226="","",検体毎項目情報!H226)</f>
        <v/>
      </c>
      <c r="BA225" s="12" t="str">
        <f>IF(検体毎項目情報!I226="","",検体毎項目情報!I226)</f>
        <v/>
      </c>
      <c r="BB225" s="12" t="str">
        <f>IF(検体毎項目情報!J226="","",検体毎項目情報!J226)</f>
        <v/>
      </c>
      <c r="BC225" s="12" t="str">
        <f>IF(検体毎項目情報!K226="","",検体毎項目情報!K226)</f>
        <v/>
      </c>
      <c r="BD225" s="12" t="str">
        <f>IF(検体毎項目情報!L226="","",検体毎項目情報!L226)</f>
        <v/>
      </c>
      <c r="BE225" s="12" t="str">
        <f>IF(検体毎項目情報!M226="","",検体毎項目情報!M226)</f>
        <v/>
      </c>
      <c r="BF225" s="12" t="str">
        <f>IF(検体毎項目情報!N226="","",検体毎項目情報!N226)</f>
        <v/>
      </c>
      <c r="BG225" s="12" t="str">
        <f>IF(検体毎項目情報!O226="","",検体毎項目情報!O226)</f>
        <v/>
      </c>
      <c r="BH225" s="12" t="str">
        <f>IF(検体毎項目情報!P226="","",検体毎項目情報!P226)</f>
        <v/>
      </c>
      <c r="BI225" s="12" t="str">
        <f>IF(検体毎項目情報!Q226="","",検体毎項目情報!Q226)</f>
        <v/>
      </c>
      <c r="BJ225" s="12" t="str">
        <f>IF(検体毎項目情報!R226="","",検体毎項目情報!R226)</f>
        <v/>
      </c>
      <c r="BK225" s="12" t="str">
        <f>IF(検体毎項目情報!S226="","",検体毎項目情報!S226)</f>
        <v/>
      </c>
      <c r="BL225" s="12" t="str">
        <f>IF(検体毎項目情報!T226="","",検体毎項目情報!T226)</f>
        <v/>
      </c>
      <c r="BM225" s="12" t="str">
        <f>IF(検体毎項目情報!U226="","",検体毎項目情報!U226)</f>
        <v/>
      </c>
      <c r="BN225" s="12" t="str">
        <f>IF(検体毎項目情報!V226="","",検体毎項目情報!V226)</f>
        <v/>
      </c>
      <c r="BO225" s="12" t="str">
        <f>IF(検体毎項目情報!W226="","",検体毎項目情報!W226)</f>
        <v/>
      </c>
      <c r="BP225" s="12" t="str">
        <f>IF(検体毎項目情報!X226="","",検体毎項目情報!X226)</f>
        <v/>
      </c>
    </row>
    <row r="226" spans="44:68">
      <c r="AR226" s="32" t="str">
        <f>IF(AS226="","",COUNTIF(費用項目一覧!A:A,判定詳細!AU226))</f>
        <v/>
      </c>
      <c r="AS226" s="12" t="str">
        <f>IF(検体毎項目情報!A227="","",検体毎項目情報!A227)</f>
        <v/>
      </c>
      <c r="AT226" s="12" t="str">
        <f>IF(検体毎項目情報!B227="","",検体毎項目情報!B227)</f>
        <v/>
      </c>
      <c r="AU226" s="12" t="str">
        <f>IF(検体毎項目情報!C227="","",検体毎項目情報!C227)</f>
        <v/>
      </c>
      <c r="AV226" s="12" t="str">
        <f>IF(検体毎項目情報!D227="","",検体毎項目情報!D227)</f>
        <v/>
      </c>
      <c r="AW226" s="12" t="str">
        <f>IF(検体毎項目情報!E227="","",検体毎項目情報!E227)</f>
        <v/>
      </c>
      <c r="AX226" s="12" t="str">
        <f>IF(検体毎項目情報!F227="","",検体毎項目情報!F227)</f>
        <v/>
      </c>
      <c r="AY226" s="12" t="str">
        <f>IF(検体毎項目情報!G227="","",検体毎項目情報!G227)</f>
        <v/>
      </c>
      <c r="AZ226" s="12" t="str">
        <f>IF(検体毎項目情報!H227="","",検体毎項目情報!H227)</f>
        <v/>
      </c>
      <c r="BA226" s="12" t="str">
        <f>IF(検体毎項目情報!I227="","",検体毎項目情報!I227)</f>
        <v/>
      </c>
      <c r="BB226" s="12" t="str">
        <f>IF(検体毎項目情報!J227="","",検体毎項目情報!J227)</f>
        <v/>
      </c>
      <c r="BC226" s="12" t="str">
        <f>IF(検体毎項目情報!K227="","",検体毎項目情報!K227)</f>
        <v/>
      </c>
      <c r="BD226" s="12" t="str">
        <f>IF(検体毎項目情報!L227="","",検体毎項目情報!L227)</f>
        <v/>
      </c>
      <c r="BE226" s="12" t="str">
        <f>IF(検体毎項目情報!M227="","",検体毎項目情報!M227)</f>
        <v/>
      </c>
      <c r="BF226" s="12" t="str">
        <f>IF(検体毎項目情報!N227="","",検体毎項目情報!N227)</f>
        <v/>
      </c>
      <c r="BG226" s="12" t="str">
        <f>IF(検体毎項目情報!O227="","",検体毎項目情報!O227)</f>
        <v/>
      </c>
      <c r="BH226" s="12" t="str">
        <f>IF(検体毎項目情報!P227="","",検体毎項目情報!P227)</f>
        <v/>
      </c>
      <c r="BI226" s="12" t="str">
        <f>IF(検体毎項目情報!Q227="","",検体毎項目情報!Q227)</f>
        <v/>
      </c>
      <c r="BJ226" s="12" t="str">
        <f>IF(検体毎項目情報!R227="","",検体毎項目情報!R227)</f>
        <v/>
      </c>
      <c r="BK226" s="12" t="str">
        <f>IF(検体毎項目情報!S227="","",検体毎項目情報!S227)</f>
        <v/>
      </c>
      <c r="BL226" s="12" t="str">
        <f>IF(検体毎項目情報!T227="","",検体毎項目情報!T227)</f>
        <v/>
      </c>
      <c r="BM226" s="12" t="str">
        <f>IF(検体毎項目情報!U227="","",検体毎項目情報!U227)</f>
        <v/>
      </c>
      <c r="BN226" s="12" t="str">
        <f>IF(検体毎項目情報!V227="","",検体毎項目情報!V227)</f>
        <v/>
      </c>
      <c r="BO226" s="12" t="str">
        <f>IF(検体毎項目情報!W227="","",検体毎項目情報!W227)</f>
        <v/>
      </c>
      <c r="BP226" s="12" t="str">
        <f>IF(検体毎項目情報!X227="","",検体毎項目情報!X227)</f>
        <v/>
      </c>
    </row>
    <row r="227" spans="44:68">
      <c r="AR227" s="32" t="str">
        <f>IF(AS227="","",COUNTIF(費用項目一覧!A:A,判定詳細!AU227))</f>
        <v/>
      </c>
      <c r="AS227" s="12" t="str">
        <f>IF(検体毎項目情報!A228="","",検体毎項目情報!A228)</f>
        <v/>
      </c>
      <c r="AT227" s="12" t="str">
        <f>IF(検体毎項目情報!B228="","",検体毎項目情報!B228)</f>
        <v/>
      </c>
      <c r="AU227" s="12" t="str">
        <f>IF(検体毎項目情報!C228="","",検体毎項目情報!C228)</f>
        <v/>
      </c>
      <c r="AV227" s="12" t="str">
        <f>IF(検体毎項目情報!D228="","",検体毎項目情報!D228)</f>
        <v/>
      </c>
      <c r="AW227" s="12" t="str">
        <f>IF(検体毎項目情報!E228="","",検体毎項目情報!E228)</f>
        <v/>
      </c>
      <c r="AX227" s="12" t="str">
        <f>IF(検体毎項目情報!F228="","",検体毎項目情報!F228)</f>
        <v/>
      </c>
      <c r="AY227" s="12" t="str">
        <f>IF(検体毎項目情報!G228="","",検体毎項目情報!G228)</f>
        <v/>
      </c>
      <c r="AZ227" s="12" t="str">
        <f>IF(検体毎項目情報!H228="","",検体毎項目情報!H228)</f>
        <v/>
      </c>
      <c r="BA227" s="12" t="str">
        <f>IF(検体毎項目情報!I228="","",検体毎項目情報!I228)</f>
        <v/>
      </c>
      <c r="BB227" s="12" t="str">
        <f>IF(検体毎項目情報!J228="","",検体毎項目情報!J228)</f>
        <v/>
      </c>
      <c r="BC227" s="12" t="str">
        <f>IF(検体毎項目情報!K228="","",検体毎項目情報!K228)</f>
        <v/>
      </c>
      <c r="BD227" s="12" t="str">
        <f>IF(検体毎項目情報!L228="","",検体毎項目情報!L228)</f>
        <v/>
      </c>
      <c r="BE227" s="12" t="str">
        <f>IF(検体毎項目情報!M228="","",検体毎項目情報!M228)</f>
        <v/>
      </c>
      <c r="BF227" s="12" t="str">
        <f>IF(検体毎項目情報!N228="","",検体毎項目情報!N228)</f>
        <v/>
      </c>
      <c r="BG227" s="12" t="str">
        <f>IF(検体毎項目情報!O228="","",検体毎項目情報!O228)</f>
        <v/>
      </c>
      <c r="BH227" s="12" t="str">
        <f>IF(検体毎項目情報!P228="","",検体毎項目情報!P228)</f>
        <v/>
      </c>
      <c r="BI227" s="12" t="str">
        <f>IF(検体毎項目情報!Q228="","",検体毎項目情報!Q228)</f>
        <v/>
      </c>
      <c r="BJ227" s="12" t="str">
        <f>IF(検体毎項目情報!R228="","",検体毎項目情報!R228)</f>
        <v/>
      </c>
      <c r="BK227" s="12" t="str">
        <f>IF(検体毎項目情報!S228="","",検体毎項目情報!S228)</f>
        <v/>
      </c>
      <c r="BL227" s="12" t="str">
        <f>IF(検体毎項目情報!T228="","",検体毎項目情報!T228)</f>
        <v/>
      </c>
      <c r="BM227" s="12" t="str">
        <f>IF(検体毎項目情報!U228="","",検体毎項目情報!U228)</f>
        <v/>
      </c>
      <c r="BN227" s="12" t="str">
        <f>IF(検体毎項目情報!V228="","",検体毎項目情報!V228)</f>
        <v/>
      </c>
      <c r="BO227" s="12" t="str">
        <f>IF(検体毎項目情報!W228="","",検体毎項目情報!W228)</f>
        <v/>
      </c>
      <c r="BP227" s="12" t="str">
        <f>IF(検体毎項目情報!X228="","",検体毎項目情報!X228)</f>
        <v/>
      </c>
    </row>
    <row r="228" spans="44:68">
      <c r="AR228" s="32" t="str">
        <f>IF(AS228="","",COUNTIF(費用項目一覧!A:A,判定詳細!AU228))</f>
        <v/>
      </c>
      <c r="AS228" s="12" t="str">
        <f>IF(検体毎項目情報!A229="","",検体毎項目情報!A229)</f>
        <v/>
      </c>
      <c r="AT228" s="12" t="str">
        <f>IF(検体毎項目情報!B229="","",検体毎項目情報!B229)</f>
        <v/>
      </c>
      <c r="AU228" s="12" t="str">
        <f>IF(検体毎項目情報!C229="","",検体毎項目情報!C229)</f>
        <v/>
      </c>
      <c r="AV228" s="12" t="str">
        <f>IF(検体毎項目情報!D229="","",検体毎項目情報!D229)</f>
        <v/>
      </c>
      <c r="AW228" s="12" t="str">
        <f>IF(検体毎項目情報!E229="","",検体毎項目情報!E229)</f>
        <v/>
      </c>
      <c r="AX228" s="12" t="str">
        <f>IF(検体毎項目情報!F229="","",検体毎項目情報!F229)</f>
        <v/>
      </c>
      <c r="AY228" s="12" t="str">
        <f>IF(検体毎項目情報!G229="","",検体毎項目情報!G229)</f>
        <v/>
      </c>
      <c r="AZ228" s="12" t="str">
        <f>IF(検体毎項目情報!H229="","",検体毎項目情報!H229)</f>
        <v/>
      </c>
      <c r="BA228" s="12" t="str">
        <f>IF(検体毎項目情報!I229="","",検体毎項目情報!I229)</f>
        <v/>
      </c>
      <c r="BB228" s="12" t="str">
        <f>IF(検体毎項目情報!J229="","",検体毎項目情報!J229)</f>
        <v/>
      </c>
      <c r="BC228" s="12" t="str">
        <f>IF(検体毎項目情報!K229="","",検体毎項目情報!K229)</f>
        <v/>
      </c>
      <c r="BD228" s="12" t="str">
        <f>IF(検体毎項目情報!L229="","",検体毎項目情報!L229)</f>
        <v/>
      </c>
      <c r="BE228" s="12" t="str">
        <f>IF(検体毎項目情報!M229="","",検体毎項目情報!M229)</f>
        <v/>
      </c>
      <c r="BF228" s="12" t="str">
        <f>IF(検体毎項目情報!N229="","",検体毎項目情報!N229)</f>
        <v/>
      </c>
      <c r="BG228" s="12" t="str">
        <f>IF(検体毎項目情報!O229="","",検体毎項目情報!O229)</f>
        <v/>
      </c>
      <c r="BH228" s="12" t="str">
        <f>IF(検体毎項目情報!P229="","",検体毎項目情報!P229)</f>
        <v/>
      </c>
      <c r="BI228" s="12" t="str">
        <f>IF(検体毎項目情報!Q229="","",検体毎項目情報!Q229)</f>
        <v/>
      </c>
      <c r="BJ228" s="12" t="str">
        <f>IF(検体毎項目情報!R229="","",検体毎項目情報!R229)</f>
        <v/>
      </c>
      <c r="BK228" s="12" t="str">
        <f>IF(検体毎項目情報!S229="","",検体毎項目情報!S229)</f>
        <v/>
      </c>
      <c r="BL228" s="12" t="str">
        <f>IF(検体毎項目情報!T229="","",検体毎項目情報!T229)</f>
        <v/>
      </c>
      <c r="BM228" s="12" t="str">
        <f>IF(検体毎項目情報!U229="","",検体毎項目情報!U229)</f>
        <v/>
      </c>
      <c r="BN228" s="12" t="str">
        <f>IF(検体毎項目情報!V229="","",検体毎項目情報!V229)</f>
        <v/>
      </c>
      <c r="BO228" s="12" t="str">
        <f>IF(検体毎項目情報!W229="","",検体毎項目情報!W229)</f>
        <v/>
      </c>
      <c r="BP228" s="12" t="str">
        <f>IF(検体毎項目情報!X229="","",検体毎項目情報!X229)</f>
        <v/>
      </c>
    </row>
    <row r="229" spans="44:68">
      <c r="AR229" s="32" t="str">
        <f>IF(AS229="","",COUNTIF(費用項目一覧!A:A,判定詳細!AU229))</f>
        <v/>
      </c>
      <c r="AS229" s="12" t="str">
        <f>IF(検体毎項目情報!A230="","",検体毎項目情報!A230)</f>
        <v/>
      </c>
      <c r="AT229" s="12" t="str">
        <f>IF(検体毎項目情報!B230="","",検体毎項目情報!B230)</f>
        <v/>
      </c>
      <c r="AU229" s="12" t="str">
        <f>IF(検体毎項目情報!C230="","",検体毎項目情報!C230)</f>
        <v/>
      </c>
      <c r="AV229" s="12" t="str">
        <f>IF(検体毎項目情報!D230="","",検体毎項目情報!D230)</f>
        <v/>
      </c>
      <c r="AW229" s="12" t="str">
        <f>IF(検体毎項目情報!E230="","",検体毎項目情報!E230)</f>
        <v/>
      </c>
      <c r="AX229" s="12" t="str">
        <f>IF(検体毎項目情報!F230="","",検体毎項目情報!F230)</f>
        <v/>
      </c>
      <c r="AY229" s="12" t="str">
        <f>IF(検体毎項目情報!G230="","",検体毎項目情報!G230)</f>
        <v/>
      </c>
      <c r="AZ229" s="12" t="str">
        <f>IF(検体毎項目情報!H230="","",検体毎項目情報!H230)</f>
        <v/>
      </c>
      <c r="BA229" s="12" t="str">
        <f>IF(検体毎項目情報!I230="","",検体毎項目情報!I230)</f>
        <v/>
      </c>
      <c r="BB229" s="12" t="str">
        <f>IF(検体毎項目情報!J230="","",検体毎項目情報!J230)</f>
        <v/>
      </c>
      <c r="BC229" s="12" t="str">
        <f>IF(検体毎項目情報!K230="","",検体毎項目情報!K230)</f>
        <v/>
      </c>
      <c r="BD229" s="12" t="str">
        <f>IF(検体毎項目情報!L230="","",検体毎項目情報!L230)</f>
        <v/>
      </c>
      <c r="BE229" s="12" t="str">
        <f>IF(検体毎項目情報!M230="","",検体毎項目情報!M230)</f>
        <v/>
      </c>
      <c r="BF229" s="12" t="str">
        <f>IF(検体毎項目情報!N230="","",検体毎項目情報!N230)</f>
        <v/>
      </c>
      <c r="BG229" s="12" t="str">
        <f>IF(検体毎項目情報!O230="","",検体毎項目情報!O230)</f>
        <v/>
      </c>
      <c r="BH229" s="12" t="str">
        <f>IF(検体毎項目情報!P230="","",検体毎項目情報!P230)</f>
        <v/>
      </c>
      <c r="BI229" s="12" t="str">
        <f>IF(検体毎項目情報!Q230="","",検体毎項目情報!Q230)</f>
        <v/>
      </c>
      <c r="BJ229" s="12" t="str">
        <f>IF(検体毎項目情報!R230="","",検体毎項目情報!R230)</f>
        <v/>
      </c>
      <c r="BK229" s="12" t="str">
        <f>IF(検体毎項目情報!S230="","",検体毎項目情報!S230)</f>
        <v/>
      </c>
      <c r="BL229" s="12" t="str">
        <f>IF(検体毎項目情報!T230="","",検体毎項目情報!T230)</f>
        <v/>
      </c>
      <c r="BM229" s="12" t="str">
        <f>IF(検体毎項目情報!U230="","",検体毎項目情報!U230)</f>
        <v/>
      </c>
      <c r="BN229" s="12" t="str">
        <f>IF(検体毎項目情報!V230="","",検体毎項目情報!V230)</f>
        <v/>
      </c>
      <c r="BO229" s="12" t="str">
        <f>IF(検体毎項目情報!W230="","",検体毎項目情報!W230)</f>
        <v/>
      </c>
      <c r="BP229" s="12" t="str">
        <f>IF(検体毎項目情報!X230="","",検体毎項目情報!X230)</f>
        <v/>
      </c>
    </row>
    <row r="230" spans="44:68">
      <c r="AR230" s="32" t="str">
        <f>IF(AS230="","",COUNTIF(費用項目一覧!A:A,判定詳細!AU230))</f>
        <v/>
      </c>
      <c r="AS230" s="12" t="str">
        <f>IF(検体毎項目情報!A231="","",検体毎項目情報!A231)</f>
        <v/>
      </c>
      <c r="AT230" s="12" t="str">
        <f>IF(検体毎項目情報!B231="","",検体毎項目情報!B231)</f>
        <v/>
      </c>
      <c r="AU230" s="12" t="str">
        <f>IF(検体毎項目情報!C231="","",検体毎項目情報!C231)</f>
        <v/>
      </c>
      <c r="AV230" s="12" t="str">
        <f>IF(検体毎項目情報!D231="","",検体毎項目情報!D231)</f>
        <v/>
      </c>
      <c r="AW230" s="12" t="str">
        <f>IF(検体毎項目情報!E231="","",検体毎項目情報!E231)</f>
        <v/>
      </c>
      <c r="AX230" s="12" t="str">
        <f>IF(検体毎項目情報!F231="","",検体毎項目情報!F231)</f>
        <v/>
      </c>
      <c r="AY230" s="12" t="str">
        <f>IF(検体毎項目情報!G231="","",検体毎項目情報!G231)</f>
        <v/>
      </c>
      <c r="AZ230" s="12" t="str">
        <f>IF(検体毎項目情報!H231="","",検体毎項目情報!H231)</f>
        <v/>
      </c>
      <c r="BA230" s="12" t="str">
        <f>IF(検体毎項目情報!I231="","",検体毎項目情報!I231)</f>
        <v/>
      </c>
      <c r="BB230" s="12" t="str">
        <f>IF(検体毎項目情報!J231="","",検体毎項目情報!J231)</f>
        <v/>
      </c>
      <c r="BC230" s="12" t="str">
        <f>IF(検体毎項目情報!K231="","",検体毎項目情報!K231)</f>
        <v/>
      </c>
      <c r="BD230" s="12" t="str">
        <f>IF(検体毎項目情報!L231="","",検体毎項目情報!L231)</f>
        <v/>
      </c>
      <c r="BE230" s="12" t="str">
        <f>IF(検体毎項目情報!M231="","",検体毎項目情報!M231)</f>
        <v/>
      </c>
      <c r="BF230" s="12" t="str">
        <f>IF(検体毎項目情報!N231="","",検体毎項目情報!N231)</f>
        <v/>
      </c>
      <c r="BG230" s="12" t="str">
        <f>IF(検体毎項目情報!O231="","",検体毎項目情報!O231)</f>
        <v/>
      </c>
      <c r="BH230" s="12" t="str">
        <f>IF(検体毎項目情報!P231="","",検体毎項目情報!P231)</f>
        <v/>
      </c>
      <c r="BI230" s="12" t="str">
        <f>IF(検体毎項目情報!Q231="","",検体毎項目情報!Q231)</f>
        <v/>
      </c>
      <c r="BJ230" s="12" t="str">
        <f>IF(検体毎項目情報!R231="","",検体毎項目情報!R231)</f>
        <v/>
      </c>
      <c r="BK230" s="12" t="str">
        <f>IF(検体毎項目情報!S231="","",検体毎項目情報!S231)</f>
        <v/>
      </c>
      <c r="BL230" s="12" t="str">
        <f>IF(検体毎項目情報!T231="","",検体毎項目情報!T231)</f>
        <v/>
      </c>
      <c r="BM230" s="12" t="str">
        <f>IF(検体毎項目情報!U231="","",検体毎項目情報!U231)</f>
        <v/>
      </c>
      <c r="BN230" s="12" t="str">
        <f>IF(検体毎項目情報!V231="","",検体毎項目情報!V231)</f>
        <v/>
      </c>
      <c r="BO230" s="12" t="str">
        <f>IF(検体毎項目情報!W231="","",検体毎項目情報!W231)</f>
        <v/>
      </c>
      <c r="BP230" s="12" t="str">
        <f>IF(検体毎項目情報!X231="","",検体毎項目情報!X231)</f>
        <v/>
      </c>
    </row>
    <row r="231" spans="44:68">
      <c r="AR231" s="32" t="str">
        <f>IF(AS231="","",COUNTIF(費用項目一覧!A:A,判定詳細!AU231))</f>
        <v/>
      </c>
      <c r="AS231" s="12" t="str">
        <f>IF(検体毎項目情報!A232="","",検体毎項目情報!A232)</f>
        <v/>
      </c>
      <c r="AT231" s="12" t="str">
        <f>IF(検体毎項目情報!B232="","",検体毎項目情報!B232)</f>
        <v/>
      </c>
      <c r="AU231" s="12" t="str">
        <f>IF(検体毎項目情報!C232="","",検体毎項目情報!C232)</f>
        <v/>
      </c>
      <c r="AV231" s="12" t="str">
        <f>IF(検体毎項目情報!D232="","",検体毎項目情報!D232)</f>
        <v/>
      </c>
      <c r="AW231" s="12" t="str">
        <f>IF(検体毎項目情報!E232="","",検体毎項目情報!E232)</f>
        <v/>
      </c>
      <c r="AX231" s="12" t="str">
        <f>IF(検体毎項目情報!F232="","",検体毎項目情報!F232)</f>
        <v/>
      </c>
      <c r="AY231" s="12" t="str">
        <f>IF(検体毎項目情報!G232="","",検体毎項目情報!G232)</f>
        <v/>
      </c>
      <c r="AZ231" s="12" t="str">
        <f>IF(検体毎項目情報!H232="","",検体毎項目情報!H232)</f>
        <v/>
      </c>
      <c r="BA231" s="12" t="str">
        <f>IF(検体毎項目情報!I232="","",検体毎項目情報!I232)</f>
        <v/>
      </c>
      <c r="BB231" s="12" t="str">
        <f>IF(検体毎項目情報!J232="","",検体毎項目情報!J232)</f>
        <v/>
      </c>
      <c r="BC231" s="12" t="str">
        <f>IF(検体毎項目情報!K232="","",検体毎項目情報!K232)</f>
        <v/>
      </c>
      <c r="BD231" s="12" t="str">
        <f>IF(検体毎項目情報!L232="","",検体毎項目情報!L232)</f>
        <v/>
      </c>
      <c r="BE231" s="12" t="str">
        <f>IF(検体毎項目情報!M232="","",検体毎項目情報!M232)</f>
        <v/>
      </c>
      <c r="BF231" s="12" t="str">
        <f>IF(検体毎項目情報!N232="","",検体毎項目情報!N232)</f>
        <v/>
      </c>
      <c r="BG231" s="12" t="str">
        <f>IF(検体毎項目情報!O232="","",検体毎項目情報!O232)</f>
        <v/>
      </c>
      <c r="BH231" s="12" t="str">
        <f>IF(検体毎項目情報!P232="","",検体毎項目情報!P232)</f>
        <v/>
      </c>
      <c r="BI231" s="12" t="str">
        <f>IF(検体毎項目情報!Q232="","",検体毎項目情報!Q232)</f>
        <v/>
      </c>
      <c r="BJ231" s="12" t="str">
        <f>IF(検体毎項目情報!R232="","",検体毎項目情報!R232)</f>
        <v/>
      </c>
      <c r="BK231" s="12" t="str">
        <f>IF(検体毎項目情報!S232="","",検体毎項目情報!S232)</f>
        <v/>
      </c>
      <c r="BL231" s="12" t="str">
        <f>IF(検体毎項目情報!T232="","",検体毎項目情報!T232)</f>
        <v/>
      </c>
      <c r="BM231" s="12" t="str">
        <f>IF(検体毎項目情報!U232="","",検体毎項目情報!U232)</f>
        <v/>
      </c>
      <c r="BN231" s="12" t="str">
        <f>IF(検体毎項目情報!V232="","",検体毎項目情報!V232)</f>
        <v/>
      </c>
      <c r="BO231" s="12" t="str">
        <f>IF(検体毎項目情報!W232="","",検体毎項目情報!W232)</f>
        <v/>
      </c>
      <c r="BP231" s="12" t="str">
        <f>IF(検体毎項目情報!X232="","",検体毎項目情報!X232)</f>
        <v/>
      </c>
    </row>
    <row r="232" spans="44:68">
      <c r="AR232" s="32" t="str">
        <f>IF(AS232="","",COUNTIF(費用項目一覧!A:A,判定詳細!AU232))</f>
        <v/>
      </c>
      <c r="AS232" s="12" t="str">
        <f>IF(検体毎項目情報!A233="","",検体毎項目情報!A233)</f>
        <v/>
      </c>
      <c r="AT232" s="12" t="str">
        <f>IF(検体毎項目情報!B233="","",検体毎項目情報!B233)</f>
        <v/>
      </c>
      <c r="AU232" s="12" t="str">
        <f>IF(検体毎項目情報!C233="","",検体毎項目情報!C233)</f>
        <v/>
      </c>
      <c r="AV232" s="12" t="str">
        <f>IF(検体毎項目情報!D233="","",検体毎項目情報!D233)</f>
        <v/>
      </c>
      <c r="AW232" s="12" t="str">
        <f>IF(検体毎項目情報!E233="","",検体毎項目情報!E233)</f>
        <v/>
      </c>
      <c r="AX232" s="12" t="str">
        <f>IF(検体毎項目情報!F233="","",検体毎項目情報!F233)</f>
        <v/>
      </c>
      <c r="AY232" s="12" t="str">
        <f>IF(検体毎項目情報!G233="","",検体毎項目情報!G233)</f>
        <v/>
      </c>
      <c r="AZ232" s="12" t="str">
        <f>IF(検体毎項目情報!H233="","",検体毎項目情報!H233)</f>
        <v/>
      </c>
      <c r="BA232" s="12" t="str">
        <f>IF(検体毎項目情報!I233="","",検体毎項目情報!I233)</f>
        <v/>
      </c>
      <c r="BB232" s="12" t="str">
        <f>IF(検体毎項目情報!J233="","",検体毎項目情報!J233)</f>
        <v/>
      </c>
      <c r="BC232" s="12" t="str">
        <f>IF(検体毎項目情報!K233="","",検体毎項目情報!K233)</f>
        <v/>
      </c>
      <c r="BD232" s="12" t="str">
        <f>IF(検体毎項目情報!L233="","",検体毎項目情報!L233)</f>
        <v/>
      </c>
      <c r="BE232" s="12" t="str">
        <f>IF(検体毎項目情報!M233="","",検体毎項目情報!M233)</f>
        <v/>
      </c>
      <c r="BF232" s="12" t="str">
        <f>IF(検体毎項目情報!N233="","",検体毎項目情報!N233)</f>
        <v/>
      </c>
      <c r="BG232" s="12" t="str">
        <f>IF(検体毎項目情報!O233="","",検体毎項目情報!O233)</f>
        <v/>
      </c>
      <c r="BH232" s="12" t="str">
        <f>IF(検体毎項目情報!P233="","",検体毎項目情報!P233)</f>
        <v/>
      </c>
      <c r="BI232" s="12" t="str">
        <f>IF(検体毎項目情報!Q233="","",検体毎項目情報!Q233)</f>
        <v/>
      </c>
      <c r="BJ232" s="12" t="str">
        <f>IF(検体毎項目情報!R233="","",検体毎項目情報!R233)</f>
        <v/>
      </c>
      <c r="BK232" s="12" t="str">
        <f>IF(検体毎項目情報!S233="","",検体毎項目情報!S233)</f>
        <v/>
      </c>
      <c r="BL232" s="12" t="str">
        <f>IF(検体毎項目情報!T233="","",検体毎項目情報!T233)</f>
        <v/>
      </c>
      <c r="BM232" s="12" t="str">
        <f>IF(検体毎項目情報!U233="","",検体毎項目情報!U233)</f>
        <v/>
      </c>
      <c r="BN232" s="12" t="str">
        <f>IF(検体毎項目情報!V233="","",検体毎項目情報!V233)</f>
        <v/>
      </c>
      <c r="BO232" s="12" t="str">
        <f>IF(検体毎項目情報!W233="","",検体毎項目情報!W233)</f>
        <v/>
      </c>
      <c r="BP232" s="12" t="str">
        <f>IF(検体毎項目情報!X233="","",検体毎項目情報!X233)</f>
        <v/>
      </c>
    </row>
    <row r="233" spans="44:68">
      <c r="AR233" s="32" t="str">
        <f>IF(AS233="","",COUNTIF(費用項目一覧!A:A,判定詳細!AU233))</f>
        <v/>
      </c>
      <c r="AS233" s="12" t="str">
        <f>IF(検体毎項目情報!A234="","",検体毎項目情報!A234)</f>
        <v/>
      </c>
      <c r="AT233" s="12" t="str">
        <f>IF(検体毎項目情報!B234="","",検体毎項目情報!B234)</f>
        <v/>
      </c>
      <c r="AU233" s="12" t="str">
        <f>IF(検体毎項目情報!C234="","",検体毎項目情報!C234)</f>
        <v/>
      </c>
      <c r="AV233" s="12" t="str">
        <f>IF(検体毎項目情報!D234="","",検体毎項目情報!D234)</f>
        <v/>
      </c>
      <c r="AW233" s="12" t="str">
        <f>IF(検体毎項目情報!E234="","",検体毎項目情報!E234)</f>
        <v/>
      </c>
      <c r="AX233" s="12" t="str">
        <f>IF(検体毎項目情報!F234="","",検体毎項目情報!F234)</f>
        <v/>
      </c>
      <c r="AY233" s="12" t="str">
        <f>IF(検体毎項目情報!G234="","",検体毎項目情報!G234)</f>
        <v/>
      </c>
      <c r="AZ233" s="12" t="str">
        <f>IF(検体毎項目情報!H234="","",検体毎項目情報!H234)</f>
        <v/>
      </c>
      <c r="BA233" s="12" t="str">
        <f>IF(検体毎項目情報!I234="","",検体毎項目情報!I234)</f>
        <v/>
      </c>
      <c r="BB233" s="12" t="str">
        <f>IF(検体毎項目情報!J234="","",検体毎項目情報!J234)</f>
        <v/>
      </c>
      <c r="BC233" s="12" t="str">
        <f>IF(検体毎項目情報!K234="","",検体毎項目情報!K234)</f>
        <v/>
      </c>
      <c r="BD233" s="12" t="str">
        <f>IF(検体毎項目情報!L234="","",検体毎項目情報!L234)</f>
        <v/>
      </c>
      <c r="BE233" s="12" t="str">
        <f>IF(検体毎項目情報!M234="","",検体毎項目情報!M234)</f>
        <v/>
      </c>
      <c r="BF233" s="12" t="str">
        <f>IF(検体毎項目情報!N234="","",検体毎項目情報!N234)</f>
        <v/>
      </c>
      <c r="BG233" s="12" t="str">
        <f>IF(検体毎項目情報!O234="","",検体毎項目情報!O234)</f>
        <v/>
      </c>
      <c r="BH233" s="12" t="str">
        <f>IF(検体毎項目情報!P234="","",検体毎項目情報!P234)</f>
        <v/>
      </c>
      <c r="BI233" s="12" t="str">
        <f>IF(検体毎項目情報!Q234="","",検体毎項目情報!Q234)</f>
        <v/>
      </c>
      <c r="BJ233" s="12" t="str">
        <f>IF(検体毎項目情報!R234="","",検体毎項目情報!R234)</f>
        <v/>
      </c>
      <c r="BK233" s="12" t="str">
        <f>IF(検体毎項目情報!S234="","",検体毎項目情報!S234)</f>
        <v/>
      </c>
      <c r="BL233" s="12" t="str">
        <f>IF(検体毎項目情報!T234="","",検体毎項目情報!T234)</f>
        <v/>
      </c>
      <c r="BM233" s="12" t="str">
        <f>IF(検体毎項目情報!U234="","",検体毎項目情報!U234)</f>
        <v/>
      </c>
      <c r="BN233" s="12" t="str">
        <f>IF(検体毎項目情報!V234="","",検体毎項目情報!V234)</f>
        <v/>
      </c>
      <c r="BO233" s="12" t="str">
        <f>IF(検体毎項目情報!W234="","",検体毎項目情報!W234)</f>
        <v/>
      </c>
      <c r="BP233" s="12" t="str">
        <f>IF(検体毎項目情報!X234="","",検体毎項目情報!X234)</f>
        <v/>
      </c>
    </row>
    <row r="234" spans="44:68">
      <c r="AR234" s="32" t="str">
        <f>IF(AS234="","",COUNTIF(費用項目一覧!A:A,判定詳細!AU234))</f>
        <v/>
      </c>
      <c r="AS234" s="12" t="str">
        <f>IF(検体毎項目情報!A235="","",検体毎項目情報!A235)</f>
        <v/>
      </c>
      <c r="AT234" s="12" t="str">
        <f>IF(検体毎項目情報!B235="","",検体毎項目情報!B235)</f>
        <v/>
      </c>
      <c r="AU234" s="12" t="str">
        <f>IF(検体毎項目情報!C235="","",検体毎項目情報!C235)</f>
        <v/>
      </c>
      <c r="AV234" s="12" t="str">
        <f>IF(検体毎項目情報!D235="","",検体毎項目情報!D235)</f>
        <v/>
      </c>
      <c r="AW234" s="12" t="str">
        <f>IF(検体毎項目情報!E235="","",検体毎項目情報!E235)</f>
        <v/>
      </c>
      <c r="AX234" s="12" t="str">
        <f>IF(検体毎項目情報!F235="","",検体毎項目情報!F235)</f>
        <v/>
      </c>
      <c r="AY234" s="12" t="str">
        <f>IF(検体毎項目情報!G235="","",検体毎項目情報!G235)</f>
        <v/>
      </c>
      <c r="AZ234" s="12" t="str">
        <f>IF(検体毎項目情報!H235="","",検体毎項目情報!H235)</f>
        <v/>
      </c>
      <c r="BA234" s="12" t="str">
        <f>IF(検体毎項目情報!I235="","",検体毎項目情報!I235)</f>
        <v/>
      </c>
      <c r="BB234" s="12" t="str">
        <f>IF(検体毎項目情報!J235="","",検体毎項目情報!J235)</f>
        <v/>
      </c>
      <c r="BC234" s="12" t="str">
        <f>IF(検体毎項目情報!K235="","",検体毎項目情報!K235)</f>
        <v/>
      </c>
      <c r="BD234" s="12" t="str">
        <f>IF(検体毎項目情報!L235="","",検体毎項目情報!L235)</f>
        <v/>
      </c>
      <c r="BE234" s="12" t="str">
        <f>IF(検体毎項目情報!M235="","",検体毎項目情報!M235)</f>
        <v/>
      </c>
      <c r="BF234" s="12" t="str">
        <f>IF(検体毎項目情報!N235="","",検体毎項目情報!N235)</f>
        <v/>
      </c>
      <c r="BG234" s="12" t="str">
        <f>IF(検体毎項目情報!O235="","",検体毎項目情報!O235)</f>
        <v/>
      </c>
      <c r="BH234" s="12" t="str">
        <f>IF(検体毎項目情報!P235="","",検体毎項目情報!P235)</f>
        <v/>
      </c>
      <c r="BI234" s="12" t="str">
        <f>IF(検体毎項目情報!Q235="","",検体毎項目情報!Q235)</f>
        <v/>
      </c>
      <c r="BJ234" s="12" t="str">
        <f>IF(検体毎項目情報!R235="","",検体毎項目情報!R235)</f>
        <v/>
      </c>
      <c r="BK234" s="12" t="str">
        <f>IF(検体毎項目情報!S235="","",検体毎項目情報!S235)</f>
        <v/>
      </c>
      <c r="BL234" s="12" t="str">
        <f>IF(検体毎項目情報!T235="","",検体毎項目情報!T235)</f>
        <v/>
      </c>
      <c r="BM234" s="12" t="str">
        <f>IF(検体毎項目情報!U235="","",検体毎項目情報!U235)</f>
        <v/>
      </c>
      <c r="BN234" s="12" t="str">
        <f>IF(検体毎項目情報!V235="","",検体毎項目情報!V235)</f>
        <v/>
      </c>
      <c r="BO234" s="12" t="str">
        <f>IF(検体毎項目情報!W235="","",検体毎項目情報!W235)</f>
        <v/>
      </c>
      <c r="BP234" s="12" t="str">
        <f>IF(検体毎項目情報!X235="","",検体毎項目情報!X235)</f>
        <v/>
      </c>
    </row>
    <row r="235" spans="44:68">
      <c r="AR235" s="32" t="str">
        <f>IF(AS235="","",COUNTIF(費用項目一覧!A:A,判定詳細!AU235))</f>
        <v/>
      </c>
      <c r="AS235" s="12" t="str">
        <f>IF(検体毎項目情報!A236="","",検体毎項目情報!A236)</f>
        <v/>
      </c>
      <c r="AT235" s="12" t="str">
        <f>IF(検体毎項目情報!B236="","",検体毎項目情報!B236)</f>
        <v/>
      </c>
      <c r="AU235" s="12" t="str">
        <f>IF(検体毎項目情報!C236="","",検体毎項目情報!C236)</f>
        <v/>
      </c>
      <c r="AV235" s="12" t="str">
        <f>IF(検体毎項目情報!D236="","",検体毎項目情報!D236)</f>
        <v/>
      </c>
      <c r="AW235" s="12" t="str">
        <f>IF(検体毎項目情報!E236="","",検体毎項目情報!E236)</f>
        <v/>
      </c>
      <c r="AX235" s="12" t="str">
        <f>IF(検体毎項目情報!F236="","",検体毎項目情報!F236)</f>
        <v/>
      </c>
      <c r="AY235" s="12" t="str">
        <f>IF(検体毎項目情報!G236="","",検体毎項目情報!G236)</f>
        <v/>
      </c>
      <c r="AZ235" s="12" t="str">
        <f>IF(検体毎項目情報!H236="","",検体毎項目情報!H236)</f>
        <v/>
      </c>
      <c r="BA235" s="12" t="str">
        <f>IF(検体毎項目情報!I236="","",検体毎項目情報!I236)</f>
        <v/>
      </c>
      <c r="BB235" s="12" t="str">
        <f>IF(検体毎項目情報!J236="","",検体毎項目情報!J236)</f>
        <v/>
      </c>
      <c r="BC235" s="12" t="str">
        <f>IF(検体毎項目情報!K236="","",検体毎項目情報!K236)</f>
        <v/>
      </c>
      <c r="BD235" s="12" t="str">
        <f>IF(検体毎項目情報!L236="","",検体毎項目情報!L236)</f>
        <v/>
      </c>
      <c r="BE235" s="12" t="str">
        <f>IF(検体毎項目情報!M236="","",検体毎項目情報!M236)</f>
        <v/>
      </c>
      <c r="BF235" s="12" t="str">
        <f>IF(検体毎項目情報!N236="","",検体毎項目情報!N236)</f>
        <v/>
      </c>
      <c r="BG235" s="12" t="str">
        <f>IF(検体毎項目情報!O236="","",検体毎項目情報!O236)</f>
        <v/>
      </c>
      <c r="BH235" s="12" t="str">
        <f>IF(検体毎項目情報!P236="","",検体毎項目情報!P236)</f>
        <v/>
      </c>
      <c r="BI235" s="12" t="str">
        <f>IF(検体毎項目情報!Q236="","",検体毎項目情報!Q236)</f>
        <v/>
      </c>
      <c r="BJ235" s="12" t="str">
        <f>IF(検体毎項目情報!R236="","",検体毎項目情報!R236)</f>
        <v/>
      </c>
      <c r="BK235" s="12" t="str">
        <f>IF(検体毎項目情報!S236="","",検体毎項目情報!S236)</f>
        <v/>
      </c>
      <c r="BL235" s="12" t="str">
        <f>IF(検体毎項目情報!T236="","",検体毎項目情報!T236)</f>
        <v/>
      </c>
      <c r="BM235" s="12" t="str">
        <f>IF(検体毎項目情報!U236="","",検体毎項目情報!U236)</f>
        <v/>
      </c>
      <c r="BN235" s="12" t="str">
        <f>IF(検体毎項目情報!V236="","",検体毎項目情報!V236)</f>
        <v/>
      </c>
      <c r="BO235" s="12" t="str">
        <f>IF(検体毎項目情報!W236="","",検体毎項目情報!W236)</f>
        <v/>
      </c>
      <c r="BP235" s="12" t="str">
        <f>IF(検体毎項目情報!X236="","",検体毎項目情報!X236)</f>
        <v/>
      </c>
    </row>
    <row r="236" spans="44:68">
      <c r="AR236" s="32" t="str">
        <f>IF(AS236="","",COUNTIF(費用項目一覧!A:A,判定詳細!AU236))</f>
        <v/>
      </c>
      <c r="AS236" s="12" t="str">
        <f>IF(検体毎項目情報!A237="","",検体毎項目情報!A237)</f>
        <v/>
      </c>
      <c r="AT236" s="12" t="str">
        <f>IF(検体毎項目情報!B237="","",検体毎項目情報!B237)</f>
        <v/>
      </c>
      <c r="AU236" s="12" t="str">
        <f>IF(検体毎項目情報!C237="","",検体毎項目情報!C237)</f>
        <v/>
      </c>
      <c r="AV236" s="12" t="str">
        <f>IF(検体毎項目情報!D237="","",検体毎項目情報!D237)</f>
        <v/>
      </c>
      <c r="AW236" s="12" t="str">
        <f>IF(検体毎項目情報!E237="","",検体毎項目情報!E237)</f>
        <v/>
      </c>
      <c r="AX236" s="12" t="str">
        <f>IF(検体毎項目情報!F237="","",検体毎項目情報!F237)</f>
        <v/>
      </c>
      <c r="AY236" s="12" t="str">
        <f>IF(検体毎項目情報!G237="","",検体毎項目情報!G237)</f>
        <v/>
      </c>
      <c r="AZ236" s="12" t="str">
        <f>IF(検体毎項目情報!H237="","",検体毎項目情報!H237)</f>
        <v/>
      </c>
      <c r="BA236" s="12" t="str">
        <f>IF(検体毎項目情報!I237="","",検体毎項目情報!I237)</f>
        <v/>
      </c>
      <c r="BB236" s="12" t="str">
        <f>IF(検体毎項目情報!J237="","",検体毎項目情報!J237)</f>
        <v/>
      </c>
      <c r="BC236" s="12" t="str">
        <f>IF(検体毎項目情報!K237="","",検体毎項目情報!K237)</f>
        <v/>
      </c>
      <c r="BD236" s="12" t="str">
        <f>IF(検体毎項目情報!L237="","",検体毎項目情報!L237)</f>
        <v/>
      </c>
      <c r="BE236" s="12" t="str">
        <f>IF(検体毎項目情報!M237="","",検体毎項目情報!M237)</f>
        <v/>
      </c>
      <c r="BF236" s="12" t="str">
        <f>IF(検体毎項目情報!N237="","",検体毎項目情報!N237)</f>
        <v/>
      </c>
      <c r="BG236" s="12" t="str">
        <f>IF(検体毎項目情報!O237="","",検体毎項目情報!O237)</f>
        <v/>
      </c>
      <c r="BH236" s="12" t="str">
        <f>IF(検体毎項目情報!P237="","",検体毎項目情報!P237)</f>
        <v/>
      </c>
      <c r="BI236" s="12" t="str">
        <f>IF(検体毎項目情報!Q237="","",検体毎項目情報!Q237)</f>
        <v/>
      </c>
      <c r="BJ236" s="12" t="str">
        <f>IF(検体毎項目情報!R237="","",検体毎項目情報!R237)</f>
        <v/>
      </c>
      <c r="BK236" s="12" t="str">
        <f>IF(検体毎項目情報!S237="","",検体毎項目情報!S237)</f>
        <v/>
      </c>
      <c r="BL236" s="12" t="str">
        <f>IF(検体毎項目情報!T237="","",検体毎項目情報!T237)</f>
        <v/>
      </c>
      <c r="BM236" s="12" t="str">
        <f>IF(検体毎項目情報!U237="","",検体毎項目情報!U237)</f>
        <v/>
      </c>
      <c r="BN236" s="12" t="str">
        <f>IF(検体毎項目情報!V237="","",検体毎項目情報!V237)</f>
        <v/>
      </c>
      <c r="BO236" s="12" t="str">
        <f>IF(検体毎項目情報!W237="","",検体毎項目情報!W237)</f>
        <v/>
      </c>
      <c r="BP236" s="12" t="str">
        <f>IF(検体毎項目情報!X237="","",検体毎項目情報!X237)</f>
        <v/>
      </c>
    </row>
    <row r="237" spans="44:68">
      <c r="AR237" s="32" t="str">
        <f>IF(AS237="","",COUNTIF(費用項目一覧!A:A,判定詳細!AU237))</f>
        <v/>
      </c>
      <c r="AS237" s="12" t="str">
        <f>IF(検体毎項目情報!A238="","",検体毎項目情報!A238)</f>
        <v/>
      </c>
      <c r="AT237" s="12" t="str">
        <f>IF(検体毎項目情報!B238="","",検体毎項目情報!B238)</f>
        <v/>
      </c>
      <c r="AU237" s="12" t="str">
        <f>IF(検体毎項目情報!C238="","",検体毎項目情報!C238)</f>
        <v/>
      </c>
      <c r="AV237" s="12" t="str">
        <f>IF(検体毎項目情報!D238="","",検体毎項目情報!D238)</f>
        <v/>
      </c>
      <c r="AW237" s="12" t="str">
        <f>IF(検体毎項目情報!E238="","",検体毎項目情報!E238)</f>
        <v/>
      </c>
      <c r="AX237" s="12" t="str">
        <f>IF(検体毎項目情報!F238="","",検体毎項目情報!F238)</f>
        <v/>
      </c>
      <c r="AY237" s="12" t="str">
        <f>IF(検体毎項目情報!G238="","",検体毎項目情報!G238)</f>
        <v/>
      </c>
      <c r="AZ237" s="12" t="str">
        <f>IF(検体毎項目情報!H238="","",検体毎項目情報!H238)</f>
        <v/>
      </c>
      <c r="BA237" s="12" t="str">
        <f>IF(検体毎項目情報!I238="","",検体毎項目情報!I238)</f>
        <v/>
      </c>
      <c r="BB237" s="12" t="str">
        <f>IF(検体毎項目情報!J238="","",検体毎項目情報!J238)</f>
        <v/>
      </c>
      <c r="BC237" s="12" t="str">
        <f>IF(検体毎項目情報!K238="","",検体毎項目情報!K238)</f>
        <v/>
      </c>
      <c r="BD237" s="12" t="str">
        <f>IF(検体毎項目情報!L238="","",検体毎項目情報!L238)</f>
        <v/>
      </c>
      <c r="BE237" s="12" t="str">
        <f>IF(検体毎項目情報!M238="","",検体毎項目情報!M238)</f>
        <v/>
      </c>
      <c r="BF237" s="12" t="str">
        <f>IF(検体毎項目情報!N238="","",検体毎項目情報!N238)</f>
        <v/>
      </c>
      <c r="BG237" s="12" t="str">
        <f>IF(検体毎項目情報!O238="","",検体毎項目情報!O238)</f>
        <v/>
      </c>
      <c r="BH237" s="12" t="str">
        <f>IF(検体毎項目情報!P238="","",検体毎項目情報!P238)</f>
        <v/>
      </c>
      <c r="BI237" s="12" t="str">
        <f>IF(検体毎項目情報!Q238="","",検体毎項目情報!Q238)</f>
        <v/>
      </c>
      <c r="BJ237" s="12" t="str">
        <f>IF(検体毎項目情報!R238="","",検体毎項目情報!R238)</f>
        <v/>
      </c>
      <c r="BK237" s="12" t="str">
        <f>IF(検体毎項目情報!S238="","",検体毎項目情報!S238)</f>
        <v/>
      </c>
      <c r="BL237" s="12" t="str">
        <f>IF(検体毎項目情報!T238="","",検体毎項目情報!T238)</f>
        <v/>
      </c>
      <c r="BM237" s="12" t="str">
        <f>IF(検体毎項目情報!U238="","",検体毎項目情報!U238)</f>
        <v/>
      </c>
      <c r="BN237" s="12" t="str">
        <f>IF(検体毎項目情報!V238="","",検体毎項目情報!V238)</f>
        <v/>
      </c>
      <c r="BO237" s="12" t="str">
        <f>IF(検体毎項目情報!W238="","",検体毎項目情報!W238)</f>
        <v/>
      </c>
      <c r="BP237" s="12" t="str">
        <f>IF(検体毎項目情報!X238="","",検体毎項目情報!X238)</f>
        <v/>
      </c>
    </row>
    <row r="238" spans="44:68">
      <c r="AR238" s="32" t="str">
        <f>IF(AS238="","",COUNTIF(費用項目一覧!A:A,判定詳細!AU238))</f>
        <v/>
      </c>
      <c r="AS238" s="12" t="str">
        <f>IF(検体毎項目情報!A239="","",検体毎項目情報!A239)</f>
        <v/>
      </c>
      <c r="AT238" s="12" t="str">
        <f>IF(検体毎項目情報!B239="","",検体毎項目情報!B239)</f>
        <v/>
      </c>
      <c r="AU238" s="12" t="str">
        <f>IF(検体毎項目情報!C239="","",検体毎項目情報!C239)</f>
        <v/>
      </c>
      <c r="AV238" s="12" t="str">
        <f>IF(検体毎項目情報!D239="","",検体毎項目情報!D239)</f>
        <v/>
      </c>
      <c r="AW238" s="12" t="str">
        <f>IF(検体毎項目情報!E239="","",検体毎項目情報!E239)</f>
        <v/>
      </c>
      <c r="AX238" s="12" t="str">
        <f>IF(検体毎項目情報!F239="","",検体毎項目情報!F239)</f>
        <v/>
      </c>
      <c r="AY238" s="12" t="str">
        <f>IF(検体毎項目情報!G239="","",検体毎項目情報!G239)</f>
        <v/>
      </c>
      <c r="AZ238" s="12" t="str">
        <f>IF(検体毎項目情報!H239="","",検体毎項目情報!H239)</f>
        <v/>
      </c>
      <c r="BA238" s="12" t="str">
        <f>IF(検体毎項目情報!I239="","",検体毎項目情報!I239)</f>
        <v/>
      </c>
      <c r="BB238" s="12" t="str">
        <f>IF(検体毎項目情報!J239="","",検体毎項目情報!J239)</f>
        <v/>
      </c>
      <c r="BC238" s="12" t="str">
        <f>IF(検体毎項目情報!K239="","",検体毎項目情報!K239)</f>
        <v/>
      </c>
      <c r="BD238" s="12" t="str">
        <f>IF(検体毎項目情報!L239="","",検体毎項目情報!L239)</f>
        <v/>
      </c>
      <c r="BE238" s="12" t="str">
        <f>IF(検体毎項目情報!M239="","",検体毎項目情報!M239)</f>
        <v/>
      </c>
      <c r="BF238" s="12" t="str">
        <f>IF(検体毎項目情報!N239="","",検体毎項目情報!N239)</f>
        <v/>
      </c>
      <c r="BG238" s="12" t="str">
        <f>IF(検体毎項目情報!O239="","",検体毎項目情報!O239)</f>
        <v/>
      </c>
      <c r="BH238" s="12" t="str">
        <f>IF(検体毎項目情報!P239="","",検体毎項目情報!P239)</f>
        <v/>
      </c>
      <c r="BI238" s="12" t="str">
        <f>IF(検体毎項目情報!Q239="","",検体毎項目情報!Q239)</f>
        <v/>
      </c>
      <c r="BJ238" s="12" t="str">
        <f>IF(検体毎項目情報!R239="","",検体毎項目情報!R239)</f>
        <v/>
      </c>
      <c r="BK238" s="12" t="str">
        <f>IF(検体毎項目情報!S239="","",検体毎項目情報!S239)</f>
        <v/>
      </c>
      <c r="BL238" s="12" t="str">
        <f>IF(検体毎項目情報!T239="","",検体毎項目情報!T239)</f>
        <v/>
      </c>
      <c r="BM238" s="12" t="str">
        <f>IF(検体毎項目情報!U239="","",検体毎項目情報!U239)</f>
        <v/>
      </c>
      <c r="BN238" s="12" t="str">
        <f>IF(検体毎項目情報!V239="","",検体毎項目情報!V239)</f>
        <v/>
      </c>
      <c r="BO238" s="12" t="str">
        <f>IF(検体毎項目情報!W239="","",検体毎項目情報!W239)</f>
        <v/>
      </c>
      <c r="BP238" s="12" t="str">
        <f>IF(検体毎項目情報!X239="","",検体毎項目情報!X239)</f>
        <v/>
      </c>
    </row>
    <row r="239" spans="44:68">
      <c r="AR239" s="32" t="str">
        <f>IF(AS239="","",COUNTIF(費用項目一覧!A:A,判定詳細!AU239))</f>
        <v/>
      </c>
      <c r="AS239" s="12" t="str">
        <f>IF(検体毎項目情報!A240="","",検体毎項目情報!A240)</f>
        <v/>
      </c>
      <c r="AT239" s="12" t="str">
        <f>IF(検体毎項目情報!B240="","",検体毎項目情報!B240)</f>
        <v/>
      </c>
      <c r="AU239" s="12" t="str">
        <f>IF(検体毎項目情報!C240="","",検体毎項目情報!C240)</f>
        <v/>
      </c>
      <c r="AV239" s="12" t="str">
        <f>IF(検体毎項目情報!D240="","",検体毎項目情報!D240)</f>
        <v/>
      </c>
      <c r="AW239" s="12" t="str">
        <f>IF(検体毎項目情報!E240="","",検体毎項目情報!E240)</f>
        <v/>
      </c>
      <c r="AX239" s="12" t="str">
        <f>IF(検体毎項目情報!F240="","",検体毎項目情報!F240)</f>
        <v/>
      </c>
      <c r="AY239" s="12" t="str">
        <f>IF(検体毎項目情報!G240="","",検体毎項目情報!G240)</f>
        <v/>
      </c>
      <c r="AZ239" s="12" t="str">
        <f>IF(検体毎項目情報!H240="","",検体毎項目情報!H240)</f>
        <v/>
      </c>
      <c r="BA239" s="12" t="str">
        <f>IF(検体毎項目情報!I240="","",検体毎項目情報!I240)</f>
        <v/>
      </c>
      <c r="BB239" s="12" t="str">
        <f>IF(検体毎項目情報!J240="","",検体毎項目情報!J240)</f>
        <v/>
      </c>
      <c r="BC239" s="12" t="str">
        <f>IF(検体毎項目情報!K240="","",検体毎項目情報!K240)</f>
        <v/>
      </c>
      <c r="BD239" s="12" t="str">
        <f>IF(検体毎項目情報!L240="","",検体毎項目情報!L240)</f>
        <v/>
      </c>
      <c r="BE239" s="12" t="str">
        <f>IF(検体毎項目情報!M240="","",検体毎項目情報!M240)</f>
        <v/>
      </c>
      <c r="BF239" s="12" t="str">
        <f>IF(検体毎項目情報!N240="","",検体毎項目情報!N240)</f>
        <v/>
      </c>
      <c r="BG239" s="12" t="str">
        <f>IF(検体毎項目情報!O240="","",検体毎項目情報!O240)</f>
        <v/>
      </c>
      <c r="BH239" s="12" t="str">
        <f>IF(検体毎項目情報!P240="","",検体毎項目情報!P240)</f>
        <v/>
      </c>
      <c r="BI239" s="12" t="str">
        <f>IF(検体毎項目情報!Q240="","",検体毎項目情報!Q240)</f>
        <v/>
      </c>
      <c r="BJ239" s="12" t="str">
        <f>IF(検体毎項目情報!R240="","",検体毎項目情報!R240)</f>
        <v/>
      </c>
      <c r="BK239" s="12" t="str">
        <f>IF(検体毎項目情報!S240="","",検体毎項目情報!S240)</f>
        <v/>
      </c>
      <c r="BL239" s="12" t="str">
        <f>IF(検体毎項目情報!T240="","",検体毎項目情報!T240)</f>
        <v/>
      </c>
      <c r="BM239" s="12" t="str">
        <f>IF(検体毎項目情報!U240="","",検体毎項目情報!U240)</f>
        <v/>
      </c>
      <c r="BN239" s="12" t="str">
        <f>IF(検体毎項目情報!V240="","",検体毎項目情報!V240)</f>
        <v/>
      </c>
      <c r="BO239" s="12" t="str">
        <f>IF(検体毎項目情報!W240="","",検体毎項目情報!W240)</f>
        <v/>
      </c>
      <c r="BP239" s="12" t="str">
        <f>IF(検体毎項目情報!X240="","",検体毎項目情報!X240)</f>
        <v/>
      </c>
    </row>
    <row r="240" spans="44:68">
      <c r="AR240" s="32" t="str">
        <f>IF(AS240="","",COUNTIF(費用項目一覧!A:A,判定詳細!AU240))</f>
        <v/>
      </c>
      <c r="AS240" s="12" t="str">
        <f>IF(検体毎項目情報!A241="","",検体毎項目情報!A241)</f>
        <v/>
      </c>
      <c r="AT240" s="12" t="str">
        <f>IF(検体毎項目情報!B241="","",検体毎項目情報!B241)</f>
        <v/>
      </c>
      <c r="AU240" s="12" t="str">
        <f>IF(検体毎項目情報!C241="","",検体毎項目情報!C241)</f>
        <v/>
      </c>
      <c r="AV240" s="12" t="str">
        <f>IF(検体毎項目情報!D241="","",検体毎項目情報!D241)</f>
        <v/>
      </c>
      <c r="AW240" s="12" t="str">
        <f>IF(検体毎項目情報!E241="","",検体毎項目情報!E241)</f>
        <v/>
      </c>
      <c r="AX240" s="12" t="str">
        <f>IF(検体毎項目情報!F241="","",検体毎項目情報!F241)</f>
        <v/>
      </c>
      <c r="AY240" s="12" t="str">
        <f>IF(検体毎項目情報!G241="","",検体毎項目情報!G241)</f>
        <v/>
      </c>
      <c r="AZ240" s="12" t="str">
        <f>IF(検体毎項目情報!H241="","",検体毎項目情報!H241)</f>
        <v/>
      </c>
      <c r="BA240" s="12" t="str">
        <f>IF(検体毎項目情報!I241="","",検体毎項目情報!I241)</f>
        <v/>
      </c>
      <c r="BB240" s="12" t="str">
        <f>IF(検体毎項目情報!J241="","",検体毎項目情報!J241)</f>
        <v/>
      </c>
      <c r="BC240" s="12" t="str">
        <f>IF(検体毎項目情報!K241="","",検体毎項目情報!K241)</f>
        <v/>
      </c>
      <c r="BD240" s="12" t="str">
        <f>IF(検体毎項目情報!L241="","",検体毎項目情報!L241)</f>
        <v/>
      </c>
      <c r="BE240" s="12" t="str">
        <f>IF(検体毎項目情報!M241="","",検体毎項目情報!M241)</f>
        <v/>
      </c>
      <c r="BF240" s="12" t="str">
        <f>IF(検体毎項目情報!N241="","",検体毎項目情報!N241)</f>
        <v/>
      </c>
      <c r="BG240" s="12" t="str">
        <f>IF(検体毎項目情報!O241="","",検体毎項目情報!O241)</f>
        <v/>
      </c>
      <c r="BH240" s="12" t="str">
        <f>IF(検体毎項目情報!P241="","",検体毎項目情報!P241)</f>
        <v/>
      </c>
      <c r="BI240" s="12" t="str">
        <f>IF(検体毎項目情報!Q241="","",検体毎項目情報!Q241)</f>
        <v/>
      </c>
      <c r="BJ240" s="12" t="str">
        <f>IF(検体毎項目情報!R241="","",検体毎項目情報!R241)</f>
        <v/>
      </c>
      <c r="BK240" s="12" t="str">
        <f>IF(検体毎項目情報!S241="","",検体毎項目情報!S241)</f>
        <v/>
      </c>
      <c r="BL240" s="12" t="str">
        <f>IF(検体毎項目情報!T241="","",検体毎項目情報!T241)</f>
        <v/>
      </c>
      <c r="BM240" s="12" t="str">
        <f>IF(検体毎項目情報!U241="","",検体毎項目情報!U241)</f>
        <v/>
      </c>
      <c r="BN240" s="12" t="str">
        <f>IF(検体毎項目情報!V241="","",検体毎項目情報!V241)</f>
        <v/>
      </c>
      <c r="BO240" s="12" t="str">
        <f>IF(検体毎項目情報!W241="","",検体毎項目情報!W241)</f>
        <v/>
      </c>
      <c r="BP240" s="12" t="str">
        <f>IF(検体毎項目情報!X241="","",検体毎項目情報!X241)</f>
        <v/>
      </c>
    </row>
    <row r="241" spans="44:68">
      <c r="AR241" s="32" t="str">
        <f>IF(AS241="","",COUNTIF(費用項目一覧!A:A,判定詳細!AU241))</f>
        <v/>
      </c>
      <c r="AS241" s="12" t="str">
        <f>IF(検体毎項目情報!A242="","",検体毎項目情報!A242)</f>
        <v/>
      </c>
      <c r="AT241" s="12" t="str">
        <f>IF(検体毎項目情報!B242="","",検体毎項目情報!B242)</f>
        <v/>
      </c>
      <c r="AU241" s="12" t="str">
        <f>IF(検体毎項目情報!C242="","",検体毎項目情報!C242)</f>
        <v/>
      </c>
      <c r="AV241" s="12" t="str">
        <f>IF(検体毎項目情報!D242="","",検体毎項目情報!D242)</f>
        <v/>
      </c>
      <c r="AW241" s="12" t="str">
        <f>IF(検体毎項目情報!E242="","",検体毎項目情報!E242)</f>
        <v/>
      </c>
      <c r="AX241" s="12" t="str">
        <f>IF(検体毎項目情報!F242="","",検体毎項目情報!F242)</f>
        <v/>
      </c>
      <c r="AY241" s="12" t="str">
        <f>IF(検体毎項目情報!G242="","",検体毎項目情報!G242)</f>
        <v/>
      </c>
      <c r="AZ241" s="12" t="str">
        <f>IF(検体毎項目情報!H242="","",検体毎項目情報!H242)</f>
        <v/>
      </c>
      <c r="BA241" s="12" t="str">
        <f>IF(検体毎項目情報!I242="","",検体毎項目情報!I242)</f>
        <v/>
      </c>
      <c r="BB241" s="12" t="str">
        <f>IF(検体毎項目情報!J242="","",検体毎項目情報!J242)</f>
        <v/>
      </c>
      <c r="BC241" s="12" t="str">
        <f>IF(検体毎項目情報!K242="","",検体毎項目情報!K242)</f>
        <v/>
      </c>
      <c r="BD241" s="12" t="str">
        <f>IF(検体毎項目情報!L242="","",検体毎項目情報!L242)</f>
        <v/>
      </c>
      <c r="BE241" s="12" t="str">
        <f>IF(検体毎項目情報!M242="","",検体毎項目情報!M242)</f>
        <v/>
      </c>
      <c r="BF241" s="12" t="str">
        <f>IF(検体毎項目情報!N242="","",検体毎項目情報!N242)</f>
        <v/>
      </c>
      <c r="BG241" s="12" t="str">
        <f>IF(検体毎項目情報!O242="","",検体毎項目情報!O242)</f>
        <v/>
      </c>
      <c r="BH241" s="12" t="str">
        <f>IF(検体毎項目情報!P242="","",検体毎項目情報!P242)</f>
        <v/>
      </c>
      <c r="BI241" s="12" t="str">
        <f>IF(検体毎項目情報!Q242="","",検体毎項目情報!Q242)</f>
        <v/>
      </c>
      <c r="BJ241" s="12" t="str">
        <f>IF(検体毎項目情報!R242="","",検体毎項目情報!R242)</f>
        <v/>
      </c>
      <c r="BK241" s="12" t="str">
        <f>IF(検体毎項目情報!S242="","",検体毎項目情報!S242)</f>
        <v/>
      </c>
      <c r="BL241" s="12" t="str">
        <f>IF(検体毎項目情報!T242="","",検体毎項目情報!T242)</f>
        <v/>
      </c>
      <c r="BM241" s="12" t="str">
        <f>IF(検体毎項目情報!U242="","",検体毎項目情報!U242)</f>
        <v/>
      </c>
      <c r="BN241" s="12" t="str">
        <f>IF(検体毎項目情報!V242="","",検体毎項目情報!V242)</f>
        <v/>
      </c>
      <c r="BO241" s="12" t="str">
        <f>IF(検体毎項目情報!W242="","",検体毎項目情報!W242)</f>
        <v/>
      </c>
      <c r="BP241" s="12" t="str">
        <f>IF(検体毎項目情報!X242="","",検体毎項目情報!X242)</f>
        <v/>
      </c>
    </row>
    <row r="242" spans="44:68">
      <c r="AR242" s="32" t="str">
        <f>IF(AS242="","",COUNTIF(費用項目一覧!A:A,判定詳細!AU242))</f>
        <v/>
      </c>
      <c r="AS242" s="12" t="str">
        <f>IF(検体毎項目情報!A243="","",検体毎項目情報!A243)</f>
        <v/>
      </c>
      <c r="AT242" s="12" t="str">
        <f>IF(検体毎項目情報!B243="","",検体毎項目情報!B243)</f>
        <v/>
      </c>
      <c r="AU242" s="12" t="str">
        <f>IF(検体毎項目情報!C243="","",検体毎項目情報!C243)</f>
        <v/>
      </c>
      <c r="AV242" s="12" t="str">
        <f>IF(検体毎項目情報!D243="","",検体毎項目情報!D243)</f>
        <v/>
      </c>
      <c r="AW242" s="12" t="str">
        <f>IF(検体毎項目情報!E243="","",検体毎項目情報!E243)</f>
        <v/>
      </c>
      <c r="AX242" s="12" t="str">
        <f>IF(検体毎項目情報!F243="","",検体毎項目情報!F243)</f>
        <v/>
      </c>
      <c r="AY242" s="12" t="str">
        <f>IF(検体毎項目情報!G243="","",検体毎項目情報!G243)</f>
        <v/>
      </c>
      <c r="AZ242" s="12" t="str">
        <f>IF(検体毎項目情報!H243="","",検体毎項目情報!H243)</f>
        <v/>
      </c>
      <c r="BA242" s="12" t="str">
        <f>IF(検体毎項目情報!I243="","",検体毎項目情報!I243)</f>
        <v/>
      </c>
      <c r="BB242" s="12" t="str">
        <f>IF(検体毎項目情報!J243="","",検体毎項目情報!J243)</f>
        <v/>
      </c>
      <c r="BC242" s="12" t="str">
        <f>IF(検体毎項目情報!K243="","",検体毎項目情報!K243)</f>
        <v/>
      </c>
      <c r="BD242" s="12" t="str">
        <f>IF(検体毎項目情報!L243="","",検体毎項目情報!L243)</f>
        <v/>
      </c>
      <c r="BE242" s="12" t="str">
        <f>IF(検体毎項目情報!M243="","",検体毎項目情報!M243)</f>
        <v/>
      </c>
      <c r="BF242" s="12" t="str">
        <f>IF(検体毎項目情報!N243="","",検体毎項目情報!N243)</f>
        <v/>
      </c>
      <c r="BG242" s="12" t="str">
        <f>IF(検体毎項目情報!O243="","",検体毎項目情報!O243)</f>
        <v/>
      </c>
      <c r="BH242" s="12" t="str">
        <f>IF(検体毎項目情報!P243="","",検体毎項目情報!P243)</f>
        <v/>
      </c>
      <c r="BI242" s="12" t="str">
        <f>IF(検体毎項目情報!Q243="","",検体毎項目情報!Q243)</f>
        <v/>
      </c>
      <c r="BJ242" s="12" t="str">
        <f>IF(検体毎項目情報!R243="","",検体毎項目情報!R243)</f>
        <v/>
      </c>
      <c r="BK242" s="12" t="str">
        <f>IF(検体毎項目情報!S243="","",検体毎項目情報!S243)</f>
        <v/>
      </c>
      <c r="BL242" s="12" t="str">
        <f>IF(検体毎項目情報!T243="","",検体毎項目情報!T243)</f>
        <v/>
      </c>
      <c r="BM242" s="12" t="str">
        <f>IF(検体毎項目情報!U243="","",検体毎項目情報!U243)</f>
        <v/>
      </c>
      <c r="BN242" s="12" t="str">
        <f>IF(検体毎項目情報!V243="","",検体毎項目情報!V243)</f>
        <v/>
      </c>
      <c r="BO242" s="12" t="str">
        <f>IF(検体毎項目情報!W243="","",検体毎項目情報!W243)</f>
        <v/>
      </c>
      <c r="BP242" s="12" t="str">
        <f>IF(検体毎項目情報!X243="","",検体毎項目情報!X243)</f>
        <v/>
      </c>
    </row>
    <row r="243" spans="44:68">
      <c r="AR243" s="32" t="str">
        <f>IF(AS243="","",COUNTIF(費用項目一覧!A:A,判定詳細!AU243))</f>
        <v/>
      </c>
      <c r="AS243" s="12" t="str">
        <f>IF(検体毎項目情報!A244="","",検体毎項目情報!A244)</f>
        <v/>
      </c>
      <c r="AT243" s="12" t="str">
        <f>IF(検体毎項目情報!B244="","",検体毎項目情報!B244)</f>
        <v/>
      </c>
      <c r="AU243" s="12" t="str">
        <f>IF(検体毎項目情報!C244="","",検体毎項目情報!C244)</f>
        <v/>
      </c>
      <c r="AV243" s="12" t="str">
        <f>IF(検体毎項目情報!D244="","",検体毎項目情報!D244)</f>
        <v/>
      </c>
      <c r="AW243" s="12" t="str">
        <f>IF(検体毎項目情報!E244="","",検体毎項目情報!E244)</f>
        <v/>
      </c>
      <c r="AX243" s="12" t="str">
        <f>IF(検体毎項目情報!F244="","",検体毎項目情報!F244)</f>
        <v/>
      </c>
      <c r="AY243" s="12" t="str">
        <f>IF(検体毎項目情報!G244="","",検体毎項目情報!G244)</f>
        <v/>
      </c>
      <c r="AZ243" s="12" t="str">
        <f>IF(検体毎項目情報!H244="","",検体毎項目情報!H244)</f>
        <v/>
      </c>
      <c r="BA243" s="12" t="str">
        <f>IF(検体毎項目情報!I244="","",検体毎項目情報!I244)</f>
        <v/>
      </c>
      <c r="BB243" s="12" t="str">
        <f>IF(検体毎項目情報!J244="","",検体毎項目情報!J244)</f>
        <v/>
      </c>
      <c r="BC243" s="12" t="str">
        <f>IF(検体毎項目情報!K244="","",検体毎項目情報!K244)</f>
        <v/>
      </c>
      <c r="BD243" s="12" t="str">
        <f>IF(検体毎項目情報!L244="","",検体毎項目情報!L244)</f>
        <v/>
      </c>
      <c r="BE243" s="12" t="str">
        <f>IF(検体毎項目情報!M244="","",検体毎項目情報!M244)</f>
        <v/>
      </c>
      <c r="BF243" s="12" t="str">
        <f>IF(検体毎項目情報!N244="","",検体毎項目情報!N244)</f>
        <v/>
      </c>
      <c r="BG243" s="12" t="str">
        <f>IF(検体毎項目情報!O244="","",検体毎項目情報!O244)</f>
        <v/>
      </c>
      <c r="BH243" s="12" t="str">
        <f>IF(検体毎項目情報!P244="","",検体毎項目情報!P244)</f>
        <v/>
      </c>
      <c r="BI243" s="12" t="str">
        <f>IF(検体毎項目情報!Q244="","",検体毎項目情報!Q244)</f>
        <v/>
      </c>
      <c r="BJ243" s="12" t="str">
        <f>IF(検体毎項目情報!R244="","",検体毎項目情報!R244)</f>
        <v/>
      </c>
      <c r="BK243" s="12" t="str">
        <f>IF(検体毎項目情報!S244="","",検体毎項目情報!S244)</f>
        <v/>
      </c>
      <c r="BL243" s="12" t="str">
        <f>IF(検体毎項目情報!T244="","",検体毎項目情報!T244)</f>
        <v/>
      </c>
      <c r="BM243" s="12" t="str">
        <f>IF(検体毎項目情報!U244="","",検体毎項目情報!U244)</f>
        <v/>
      </c>
      <c r="BN243" s="12" t="str">
        <f>IF(検体毎項目情報!V244="","",検体毎項目情報!V244)</f>
        <v/>
      </c>
      <c r="BO243" s="12" t="str">
        <f>IF(検体毎項目情報!W244="","",検体毎項目情報!W244)</f>
        <v/>
      </c>
      <c r="BP243" s="12" t="str">
        <f>IF(検体毎項目情報!X244="","",検体毎項目情報!X244)</f>
        <v/>
      </c>
    </row>
    <row r="244" spans="44:68">
      <c r="AR244" s="32" t="str">
        <f>IF(AS244="","",COUNTIF(費用項目一覧!A:A,判定詳細!AU244))</f>
        <v/>
      </c>
      <c r="AS244" s="12" t="str">
        <f>IF(検体毎項目情報!A245="","",検体毎項目情報!A245)</f>
        <v/>
      </c>
      <c r="AT244" s="12" t="str">
        <f>IF(検体毎項目情報!B245="","",検体毎項目情報!B245)</f>
        <v/>
      </c>
      <c r="AU244" s="12" t="str">
        <f>IF(検体毎項目情報!C245="","",検体毎項目情報!C245)</f>
        <v/>
      </c>
      <c r="AV244" s="12" t="str">
        <f>IF(検体毎項目情報!D245="","",検体毎項目情報!D245)</f>
        <v/>
      </c>
      <c r="AW244" s="12" t="str">
        <f>IF(検体毎項目情報!E245="","",検体毎項目情報!E245)</f>
        <v/>
      </c>
      <c r="AX244" s="12" t="str">
        <f>IF(検体毎項目情報!F245="","",検体毎項目情報!F245)</f>
        <v/>
      </c>
      <c r="AY244" s="12" t="str">
        <f>IF(検体毎項目情報!G245="","",検体毎項目情報!G245)</f>
        <v/>
      </c>
      <c r="AZ244" s="12" t="str">
        <f>IF(検体毎項目情報!H245="","",検体毎項目情報!H245)</f>
        <v/>
      </c>
      <c r="BA244" s="12" t="str">
        <f>IF(検体毎項目情報!I245="","",検体毎項目情報!I245)</f>
        <v/>
      </c>
      <c r="BB244" s="12" t="str">
        <f>IF(検体毎項目情報!J245="","",検体毎項目情報!J245)</f>
        <v/>
      </c>
      <c r="BC244" s="12" t="str">
        <f>IF(検体毎項目情報!K245="","",検体毎項目情報!K245)</f>
        <v/>
      </c>
      <c r="BD244" s="12" t="str">
        <f>IF(検体毎項目情報!L245="","",検体毎項目情報!L245)</f>
        <v/>
      </c>
      <c r="BE244" s="12" t="str">
        <f>IF(検体毎項目情報!M245="","",検体毎項目情報!M245)</f>
        <v/>
      </c>
      <c r="BF244" s="12" t="str">
        <f>IF(検体毎項目情報!N245="","",検体毎項目情報!N245)</f>
        <v/>
      </c>
      <c r="BG244" s="12" t="str">
        <f>IF(検体毎項目情報!O245="","",検体毎項目情報!O245)</f>
        <v/>
      </c>
      <c r="BH244" s="12" t="str">
        <f>IF(検体毎項目情報!P245="","",検体毎項目情報!P245)</f>
        <v/>
      </c>
      <c r="BI244" s="12" t="str">
        <f>IF(検体毎項目情報!Q245="","",検体毎項目情報!Q245)</f>
        <v/>
      </c>
      <c r="BJ244" s="12" t="str">
        <f>IF(検体毎項目情報!R245="","",検体毎項目情報!R245)</f>
        <v/>
      </c>
      <c r="BK244" s="12" t="str">
        <f>IF(検体毎項目情報!S245="","",検体毎項目情報!S245)</f>
        <v/>
      </c>
      <c r="BL244" s="12" t="str">
        <f>IF(検体毎項目情報!T245="","",検体毎項目情報!T245)</f>
        <v/>
      </c>
      <c r="BM244" s="12" t="str">
        <f>IF(検体毎項目情報!U245="","",検体毎項目情報!U245)</f>
        <v/>
      </c>
      <c r="BN244" s="12" t="str">
        <f>IF(検体毎項目情報!V245="","",検体毎項目情報!V245)</f>
        <v/>
      </c>
      <c r="BO244" s="12" t="str">
        <f>IF(検体毎項目情報!W245="","",検体毎項目情報!W245)</f>
        <v/>
      </c>
      <c r="BP244" s="12" t="str">
        <f>IF(検体毎項目情報!X245="","",検体毎項目情報!X245)</f>
        <v/>
      </c>
    </row>
    <row r="245" spans="44:68">
      <c r="AR245" s="32" t="str">
        <f>IF(AS245="","",COUNTIF(費用項目一覧!A:A,判定詳細!AU245))</f>
        <v/>
      </c>
      <c r="AS245" s="12" t="str">
        <f>IF(検体毎項目情報!A246="","",検体毎項目情報!A246)</f>
        <v/>
      </c>
      <c r="AT245" s="12" t="str">
        <f>IF(検体毎項目情報!B246="","",検体毎項目情報!B246)</f>
        <v/>
      </c>
      <c r="AU245" s="12" t="str">
        <f>IF(検体毎項目情報!C246="","",検体毎項目情報!C246)</f>
        <v/>
      </c>
      <c r="AV245" s="12" t="str">
        <f>IF(検体毎項目情報!D246="","",検体毎項目情報!D246)</f>
        <v/>
      </c>
      <c r="AW245" s="12" t="str">
        <f>IF(検体毎項目情報!E246="","",検体毎項目情報!E246)</f>
        <v/>
      </c>
      <c r="AX245" s="12" t="str">
        <f>IF(検体毎項目情報!F246="","",検体毎項目情報!F246)</f>
        <v/>
      </c>
      <c r="AY245" s="12" t="str">
        <f>IF(検体毎項目情報!G246="","",検体毎項目情報!G246)</f>
        <v/>
      </c>
      <c r="AZ245" s="12" t="str">
        <f>IF(検体毎項目情報!H246="","",検体毎項目情報!H246)</f>
        <v/>
      </c>
      <c r="BA245" s="12" t="str">
        <f>IF(検体毎項目情報!I246="","",検体毎項目情報!I246)</f>
        <v/>
      </c>
      <c r="BB245" s="12" t="str">
        <f>IF(検体毎項目情報!J246="","",検体毎項目情報!J246)</f>
        <v/>
      </c>
      <c r="BC245" s="12" t="str">
        <f>IF(検体毎項目情報!K246="","",検体毎項目情報!K246)</f>
        <v/>
      </c>
      <c r="BD245" s="12" t="str">
        <f>IF(検体毎項目情報!L246="","",検体毎項目情報!L246)</f>
        <v/>
      </c>
      <c r="BE245" s="12" t="str">
        <f>IF(検体毎項目情報!M246="","",検体毎項目情報!M246)</f>
        <v/>
      </c>
      <c r="BF245" s="12" t="str">
        <f>IF(検体毎項目情報!N246="","",検体毎項目情報!N246)</f>
        <v/>
      </c>
      <c r="BG245" s="12" t="str">
        <f>IF(検体毎項目情報!O246="","",検体毎項目情報!O246)</f>
        <v/>
      </c>
      <c r="BH245" s="12" t="str">
        <f>IF(検体毎項目情報!P246="","",検体毎項目情報!P246)</f>
        <v/>
      </c>
      <c r="BI245" s="12" t="str">
        <f>IF(検体毎項目情報!Q246="","",検体毎項目情報!Q246)</f>
        <v/>
      </c>
      <c r="BJ245" s="12" t="str">
        <f>IF(検体毎項目情報!R246="","",検体毎項目情報!R246)</f>
        <v/>
      </c>
      <c r="BK245" s="12" t="str">
        <f>IF(検体毎項目情報!S246="","",検体毎項目情報!S246)</f>
        <v/>
      </c>
      <c r="BL245" s="12" t="str">
        <f>IF(検体毎項目情報!T246="","",検体毎項目情報!T246)</f>
        <v/>
      </c>
      <c r="BM245" s="12" t="str">
        <f>IF(検体毎項目情報!U246="","",検体毎項目情報!U246)</f>
        <v/>
      </c>
      <c r="BN245" s="12" t="str">
        <f>IF(検体毎項目情報!V246="","",検体毎項目情報!V246)</f>
        <v/>
      </c>
      <c r="BO245" s="12" t="str">
        <f>IF(検体毎項目情報!W246="","",検体毎項目情報!W246)</f>
        <v/>
      </c>
      <c r="BP245" s="12" t="str">
        <f>IF(検体毎項目情報!X246="","",検体毎項目情報!X246)</f>
        <v/>
      </c>
    </row>
    <row r="246" spans="44:68">
      <c r="AR246" s="32" t="str">
        <f>IF(AS246="","",COUNTIF(費用項目一覧!A:A,判定詳細!AU246))</f>
        <v/>
      </c>
      <c r="AS246" s="12" t="str">
        <f>IF(検体毎項目情報!A247="","",検体毎項目情報!A247)</f>
        <v/>
      </c>
      <c r="AT246" s="12" t="str">
        <f>IF(検体毎項目情報!B247="","",検体毎項目情報!B247)</f>
        <v/>
      </c>
      <c r="AU246" s="12" t="str">
        <f>IF(検体毎項目情報!C247="","",検体毎項目情報!C247)</f>
        <v/>
      </c>
      <c r="AV246" s="12" t="str">
        <f>IF(検体毎項目情報!D247="","",検体毎項目情報!D247)</f>
        <v/>
      </c>
      <c r="AW246" s="12" t="str">
        <f>IF(検体毎項目情報!E247="","",検体毎項目情報!E247)</f>
        <v/>
      </c>
      <c r="AX246" s="12" t="str">
        <f>IF(検体毎項目情報!F247="","",検体毎項目情報!F247)</f>
        <v/>
      </c>
      <c r="AY246" s="12" t="str">
        <f>IF(検体毎項目情報!G247="","",検体毎項目情報!G247)</f>
        <v/>
      </c>
      <c r="AZ246" s="12" t="str">
        <f>IF(検体毎項目情報!H247="","",検体毎項目情報!H247)</f>
        <v/>
      </c>
      <c r="BA246" s="12" t="str">
        <f>IF(検体毎項目情報!I247="","",検体毎項目情報!I247)</f>
        <v/>
      </c>
      <c r="BB246" s="12" t="str">
        <f>IF(検体毎項目情報!J247="","",検体毎項目情報!J247)</f>
        <v/>
      </c>
      <c r="BC246" s="12" t="str">
        <f>IF(検体毎項目情報!K247="","",検体毎項目情報!K247)</f>
        <v/>
      </c>
      <c r="BD246" s="12" t="str">
        <f>IF(検体毎項目情報!L247="","",検体毎項目情報!L247)</f>
        <v/>
      </c>
      <c r="BE246" s="12" t="str">
        <f>IF(検体毎項目情報!M247="","",検体毎項目情報!M247)</f>
        <v/>
      </c>
      <c r="BF246" s="12" t="str">
        <f>IF(検体毎項目情報!N247="","",検体毎項目情報!N247)</f>
        <v/>
      </c>
      <c r="BG246" s="12" t="str">
        <f>IF(検体毎項目情報!O247="","",検体毎項目情報!O247)</f>
        <v/>
      </c>
      <c r="BH246" s="12" t="str">
        <f>IF(検体毎項目情報!P247="","",検体毎項目情報!P247)</f>
        <v/>
      </c>
      <c r="BI246" s="12" t="str">
        <f>IF(検体毎項目情報!Q247="","",検体毎項目情報!Q247)</f>
        <v/>
      </c>
      <c r="BJ246" s="12" t="str">
        <f>IF(検体毎項目情報!R247="","",検体毎項目情報!R247)</f>
        <v/>
      </c>
      <c r="BK246" s="12" t="str">
        <f>IF(検体毎項目情報!S247="","",検体毎項目情報!S247)</f>
        <v/>
      </c>
      <c r="BL246" s="12" t="str">
        <f>IF(検体毎項目情報!T247="","",検体毎項目情報!T247)</f>
        <v/>
      </c>
      <c r="BM246" s="12" t="str">
        <f>IF(検体毎項目情報!U247="","",検体毎項目情報!U247)</f>
        <v/>
      </c>
      <c r="BN246" s="12" t="str">
        <f>IF(検体毎項目情報!V247="","",検体毎項目情報!V247)</f>
        <v/>
      </c>
      <c r="BO246" s="12" t="str">
        <f>IF(検体毎項目情報!W247="","",検体毎項目情報!W247)</f>
        <v/>
      </c>
      <c r="BP246" s="12" t="str">
        <f>IF(検体毎項目情報!X247="","",検体毎項目情報!X247)</f>
        <v/>
      </c>
    </row>
    <row r="247" spans="44:68">
      <c r="AR247" s="32" t="str">
        <f>IF(AS247="","",COUNTIF(費用項目一覧!A:A,判定詳細!AU247))</f>
        <v/>
      </c>
      <c r="AS247" s="12" t="str">
        <f>IF(検体毎項目情報!A248="","",検体毎項目情報!A248)</f>
        <v/>
      </c>
      <c r="AT247" s="12" t="str">
        <f>IF(検体毎項目情報!B248="","",検体毎項目情報!B248)</f>
        <v/>
      </c>
      <c r="AU247" s="12" t="str">
        <f>IF(検体毎項目情報!C248="","",検体毎項目情報!C248)</f>
        <v/>
      </c>
      <c r="AV247" s="12" t="str">
        <f>IF(検体毎項目情報!D248="","",検体毎項目情報!D248)</f>
        <v/>
      </c>
      <c r="AW247" s="12" t="str">
        <f>IF(検体毎項目情報!E248="","",検体毎項目情報!E248)</f>
        <v/>
      </c>
      <c r="AX247" s="12" t="str">
        <f>IF(検体毎項目情報!F248="","",検体毎項目情報!F248)</f>
        <v/>
      </c>
      <c r="AY247" s="12" t="str">
        <f>IF(検体毎項目情報!G248="","",検体毎項目情報!G248)</f>
        <v/>
      </c>
      <c r="AZ247" s="12" t="str">
        <f>IF(検体毎項目情報!H248="","",検体毎項目情報!H248)</f>
        <v/>
      </c>
      <c r="BA247" s="12" t="str">
        <f>IF(検体毎項目情報!I248="","",検体毎項目情報!I248)</f>
        <v/>
      </c>
      <c r="BB247" s="12" t="str">
        <f>IF(検体毎項目情報!J248="","",検体毎項目情報!J248)</f>
        <v/>
      </c>
      <c r="BC247" s="12" t="str">
        <f>IF(検体毎項目情報!K248="","",検体毎項目情報!K248)</f>
        <v/>
      </c>
      <c r="BD247" s="12" t="str">
        <f>IF(検体毎項目情報!L248="","",検体毎項目情報!L248)</f>
        <v/>
      </c>
      <c r="BE247" s="12" t="str">
        <f>IF(検体毎項目情報!M248="","",検体毎項目情報!M248)</f>
        <v/>
      </c>
      <c r="BF247" s="12" t="str">
        <f>IF(検体毎項目情報!N248="","",検体毎項目情報!N248)</f>
        <v/>
      </c>
      <c r="BG247" s="12" t="str">
        <f>IF(検体毎項目情報!O248="","",検体毎項目情報!O248)</f>
        <v/>
      </c>
      <c r="BH247" s="12" t="str">
        <f>IF(検体毎項目情報!P248="","",検体毎項目情報!P248)</f>
        <v/>
      </c>
      <c r="BI247" s="12" t="str">
        <f>IF(検体毎項目情報!Q248="","",検体毎項目情報!Q248)</f>
        <v/>
      </c>
      <c r="BJ247" s="12" t="str">
        <f>IF(検体毎項目情報!R248="","",検体毎項目情報!R248)</f>
        <v/>
      </c>
      <c r="BK247" s="12" t="str">
        <f>IF(検体毎項目情報!S248="","",検体毎項目情報!S248)</f>
        <v/>
      </c>
      <c r="BL247" s="12" t="str">
        <f>IF(検体毎項目情報!T248="","",検体毎項目情報!T248)</f>
        <v/>
      </c>
      <c r="BM247" s="12" t="str">
        <f>IF(検体毎項目情報!U248="","",検体毎項目情報!U248)</f>
        <v/>
      </c>
      <c r="BN247" s="12" t="str">
        <f>IF(検体毎項目情報!V248="","",検体毎項目情報!V248)</f>
        <v/>
      </c>
      <c r="BO247" s="12" t="str">
        <f>IF(検体毎項目情報!W248="","",検体毎項目情報!W248)</f>
        <v/>
      </c>
      <c r="BP247" s="12" t="str">
        <f>IF(検体毎項目情報!X248="","",検体毎項目情報!X248)</f>
        <v/>
      </c>
    </row>
    <row r="248" spans="44:68">
      <c r="AR248" s="32" t="str">
        <f>IF(AS248="","",COUNTIF(費用項目一覧!A:A,判定詳細!AU248))</f>
        <v/>
      </c>
      <c r="AS248" s="12" t="str">
        <f>IF(検体毎項目情報!A249="","",検体毎項目情報!A249)</f>
        <v/>
      </c>
      <c r="AT248" s="12" t="str">
        <f>IF(検体毎項目情報!B249="","",検体毎項目情報!B249)</f>
        <v/>
      </c>
      <c r="AU248" s="12" t="str">
        <f>IF(検体毎項目情報!C249="","",検体毎項目情報!C249)</f>
        <v/>
      </c>
      <c r="AV248" s="12" t="str">
        <f>IF(検体毎項目情報!D249="","",検体毎項目情報!D249)</f>
        <v/>
      </c>
      <c r="AW248" s="12" t="str">
        <f>IF(検体毎項目情報!E249="","",検体毎項目情報!E249)</f>
        <v/>
      </c>
      <c r="AX248" s="12" t="str">
        <f>IF(検体毎項目情報!F249="","",検体毎項目情報!F249)</f>
        <v/>
      </c>
      <c r="AY248" s="12" t="str">
        <f>IF(検体毎項目情報!G249="","",検体毎項目情報!G249)</f>
        <v/>
      </c>
      <c r="AZ248" s="12" t="str">
        <f>IF(検体毎項目情報!H249="","",検体毎項目情報!H249)</f>
        <v/>
      </c>
      <c r="BA248" s="12" t="str">
        <f>IF(検体毎項目情報!I249="","",検体毎項目情報!I249)</f>
        <v/>
      </c>
      <c r="BB248" s="12" t="str">
        <f>IF(検体毎項目情報!J249="","",検体毎項目情報!J249)</f>
        <v/>
      </c>
      <c r="BC248" s="12" t="str">
        <f>IF(検体毎項目情報!K249="","",検体毎項目情報!K249)</f>
        <v/>
      </c>
      <c r="BD248" s="12" t="str">
        <f>IF(検体毎項目情報!L249="","",検体毎項目情報!L249)</f>
        <v/>
      </c>
      <c r="BE248" s="12" t="str">
        <f>IF(検体毎項目情報!M249="","",検体毎項目情報!M249)</f>
        <v/>
      </c>
      <c r="BF248" s="12" t="str">
        <f>IF(検体毎項目情報!N249="","",検体毎項目情報!N249)</f>
        <v/>
      </c>
      <c r="BG248" s="12" t="str">
        <f>IF(検体毎項目情報!O249="","",検体毎項目情報!O249)</f>
        <v/>
      </c>
      <c r="BH248" s="12" t="str">
        <f>IF(検体毎項目情報!P249="","",検体毎項目情報!P249)</f>
        <v/>
      </c>
      <c r="BI248" s="12" t="str">
        <f>IF(検体毎項目情報!Q249="","",検体毎項目情報!Q249)</f>
        <v/>
      </c>
      <c r="BJ248" s="12" t="str">
        <f>IF(検体毎項目情報!R249="","",検体毎項目情報!R249)</f>
        <v/>
      </c>
      <c r="BK248" s="12" t="str">
        <f>IF(検体毎項目情報!S249="","",検体毎項目情報!S249)</f>
        <v/>
      </c>
      <c r="BL248" s="12" t="str">
        <f>IF(検体毎項目情報!T249="","",検体毎項目情報!T249)</f>
        <v/>
      </c>
      <c r="BM248" s="12" t="str">
        <f>IF(検体毎項目情報!U249="","",検体毎項目情報!U249)</f>
        <v/>
      </c>
      <c r="BN248" s="12" t="str">
        <f>IF(検体毎項目情報!V249="","",検体毎項目情報!V249)</f>
        <v/>
      </c>
      <c r="BO248" s="12" t="str">
        <f>IF(検体毎項目情報!W249="","",検体毎項目情報!W249)</f>
        <v/>
      </c>
      <c r="BP248" s="12" t="str">
        <f>IF(検体毎項目情報!X249="","",検体毎項目情報!X249)</f>
        <v/>
      </c>
    </row>
    <row r="249" spans="44:68">
      <c r="AR249" s="32" t="str">
        <f>IF(AS249="","",COUNTIF(費用項目一覧!A:A,判定詳細!AU249))</f>
        <v/>
      </c>
    </row>
    <row r="250" spans="44:68">
      <c r="AR250" s="32" t="str">
        <f>IF(AS250="","",COUNTIF(費用項目一覧!A:A,判定詳細!AU250))</f>
        <v/>
      </c>
    </row>
  </sheetData>
  <phoneticPr fontId="2"/>
  <pageMargins left="0.7" right="0.7" top="0.75" bottom="0.75" header="0.3" footer="0.3"/>
  <pageSetup paperSize="9" orientation="portrait" copies="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BI24"/>
  <sheetViews>
    <sheetView showGridLines="0" zoomScaleNormal="100" workbookViewId="0">
      <selection activeCell="J24" sqref="J24"/>
    </sheetView>
  </sheetViews>
  <sheetFormatPr defaultColWidth="0" defaultRowHeight="18.75" zeroHeight="1"/>
  <cols>
    <col min="1" max="61" width="2.625" customWidth="1"/>
    <col min="62" max="16384" width="2.6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</sheetData>
  <phoneticPr fontId="2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A11"/>
  <sheetViews>
    <sheetView workbookViewId="0">
      <selection activeCell="A2" sqref="A2"/>
    </sheetView>
  </sheetViews>
  <sheetFormatPr defaultRowHeight="13.5"/>
  <cols>
    <col min="1" max="1" width="42.25" style="9" bestFit="1" customWidth="1"/>
    <col min="2" max="16384" width="9" style="9"/>
  </cols>
  <sheetData>
    <row r="1" spans="1:1">
      <c r="A1" s="34" t="s">
        <v>118</v>
      </c>
    </row>
    <row r="2" spans="1:1">
      <c r="A2" s="34"/>
    </row>
    <row r="3" spans="1:1">
      <c r="A3" s="34"/>
    </row>
    <row r="4" spans="1:1">
      <c r="A4" s="34"/>
    </row>
    <row r="5" spans="1:1">
      <c r="A5" s="34"/>
    </row>
    <row r="6" spans="1:1">
      <c r="A6" s="34"/>
    </row>
    <row r="7" spans="1:1">
      <c r="A7" s="34"/>
    </row>
    <row r="8" spans="1:1">
      <c r="A8" s="34"/>
    </row>
    <row r="9" spans="1:1">
      <c r="A9" s="34"/>
    </row>
    <row r="10" spans="1:1">
      <c r="A10" s="34"/>
    </row>
    <row r="11" spans="1:1">
      <c r="A11" s="34"/>
    </row>
  </sheetData>
  <phoneticPr fontId="2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処理対象</vt:lpstr>
      <vt:lpstr>検体情報</vt:lpstr>
      <vt:lpstr>項目情報</vt:lpstr>
      <vt:lpstr>データ貼付</vt:lpstr>
      <vt:lpstr>処理対象移動済</vt:lpstr>
      <vt:lpstr>処理済</vt:lpstr>
      <vt:lpstr>全項目情報</vt:lpstr>
      <vt:lpstr>検体毎項目情報</vt:lpstr>
      <vt:lpstr>判定詳細</vt:lpstr>
      <vt:lpstr>仕分け判定ロジック</vt:lpstr>
      <vt:lpstr>費用項目一覧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西谷望</dc:creator>
  <cp:lastModifiedBy>望 西谷</cp:lastModifiedBy>
  <dcterms:created xsi:type="dcterms:W3CDTF">2024-10-28T06:19:15Z</dcterms:created>
  <dcterms:modified xsi:type="dcterms:W3CDTF">2024-11-10T09:48:39Z</dcterms:modified>
</cp:coreProperties>
</file>